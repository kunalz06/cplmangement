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90" windowHeight="7320"/>
  </bookViews>
  <sheets>
    <sheet name="PO POWER PLANT 24-25" sheetId="1" r:id="rId1"/>
  </sheets>
  <definedNames>
    <definedName name="_xlnm._FilterDatabase" localSheetId="0" hidden="1">'PO POWER PLANT 24-25'!$A$6:$R$288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8" i="1" l="1"/>
  <c r="H288" i="1"/>
  <c r="I287" i="1"/>
  <c r="I286" i="1"/>
  <c r="H286" i="1"/>
  <c r="H285" i="1"/>
  <c r="I285" i="1" s="1"/>
  <c r="I284" i="1"/>
  <c r="H284" i="1"/>
  <c r="H283" i="1"/>
  <c r="I283" i="1" s="1"/>
  <c r="I282" i="1"/>
  <c r="H282" i="1"/>
  <c r="H281" i="1"/>
  <c r="I281" i="1" s="1"/>
  <c r="I280" i="1"/>
  <c r="H280" i="1"/>
  <c r="H279" i="1"/>
  <c r="I279" i="1" s="1"/>
  <c r="I278" i="1"/>
  <c r="H278" i="1"/>
  <c r="H277" i="1"/>
  <c r="I277" i="1" s="1"/>
  <c r="I276" i="1"/>
  <c r="H276" i="1"/>
  <c r="H275" i="1"/>
  <c r="I275" i="1" s="1"/>
  <c r="I274" i="1"/>
  <c r="H274" i="1"/>
  <c r="H273" i="1"/>
  <c r="I273" i="1" s="1"/>
  <c r="I272" i="1"/>
  <c r="H272" i="1"/>
  <c r="H271" i="1"/>
  <c r="I271" i="1" s="1"/>
  <c r="I270" i="1"/>
  <c r="H270" i="1"/>
  <c r="H269" i="1"/>
  <c r="I269" i="1" s="1"/>
  <c r="I268" i="1"/>
  <c r="H268" i="1"/>
  <c r="H267" i="1"/>
  <c r="I267" i="1" s="1"/>
  <c r="I266" i="1"/>
  <c r="H266" i="1"/>
  <c r="H265" i="1"/>
  <c r="I265" i="1" s="1"/>
  <c r="I264" i="1"/>
  <c r="H264" i="1"/>
  <c r="H263" i="1"/>
  <c r="I263" i="1" s="1"/>
  <c r="I262" i="1"/>
  <c r="H262" i="1"/>
  <c r="H261" i="1"/>
  <c r="I261" i="1" s="1"/>
  <c r="I260" i="1"/>
  <c r="H260" i="1"/>
  <c r="H259" i="1"/>
  <c r="I259" i="1" s="1"/>
  <c r="I258" i="1"/>
  <c r="H258" i="1"/>
  <c r="G257" i="1"/>
  <c r="I256" i="1"/>
  <c r="H256" i="1"/>
  <c r="H255" i="1"/>
  <c r="I255" i="1" s="1"/>
  <c r="I254" i="1"/>
  <c r="H254" i="1"/>
  <c r="H253" i="1"/>
  <c r="I253" i="1" s="1"/>
  <c r="I252" i="1"/>
  <c r="H252" i="1"/>
  <c r="H251" i="1"/>
  <c r="I251" i="1" s="1"/>
  <c r="I250" i="1"/>
  <c r="H250" i="1"/>
  <c r="H249" i="1"/>
  <c r="I249" i="1" s="1"/>
  <c r="G248" i="1"/>
  <c r="I247" i="1"/>
  <c r="H247" i="1"/>
  <c r="H246" i="1"/>
  <c r="I246" i="1" s="1"/>
  <c r="I245" i="1"/>
  <c r="H245" i="1"/>
  <c r="H244" i="1"/>
  <c r="I244" i="1" s="1"/>
  <c r="I243" i="1"/>
  <c r="H243" i="1"/>
  <c r="H242" i="1"/>
  <c r="I242" i="1" s="1"/>
  <c r="I241" i="1"/>
  <c r="H241" i="1"/>
  <c r="H240" i="1"/>
  <c r="I240" i="1" s="1"/>
  <c r="I239" i="1"/>
  <c r="H239" i="1"/>
  <c r="H238" i="1"/>
  <c r="I238" i="1" s="1"/>
  <c r="I237" i="1"/>
  <c r="H237" i="1"/>
  <c r="H236" i="1"/>
  <c r="I236" i="1" s="1"/>
  <c r="I235" i="1"/>
  <c r="H235" i="1"/>
  <c r="H234" i="1"/>
  <c r="I234" i="1" s="1"/>
  <c r="I233" i="1"/>
  <c r="H233" i="1"/>
  <c r="H232" i="1"/>
  <c r="I232" i="1" s="1"/>
  <c r="I231" i="1"/>
  <c r="H231" i="1"/>
  <c r="H230" i="1"/>
  <c r="I230" i="1" s="1"/>
  <c r="I229" i="1"/>
  <c r="H229" i="1"/>
  <c r="G229" i="1"/>
  <c r="H228" i="1"/>
  <c r="I228" i="1" s="1"/>
  <c r="I227" i="1"/>
  <c r="H227" i="1"/>
  <c r="H226" i="1"/>
  <c r="I226" i="1" s="1"/>
  <c r="I225" i="1"/>
  <c r="H224" i="1"/>
  <c r="I224" i="1" s="1"/>
  <c r="I223" i="1"/>
  <c r="H223" i="1"/>
  <c r="G223" i="1"/>
  <c r="H222" i="1"/>
  <c r="I222" i="1" s="1"/>
  <c r="I221" i="1"/>
  <c r="H220" i="1"/>
  <c r="I220" i="1" s="1"/>
  <c r="I219" i="1"/>
  <c r="H219" i="1"/>
  <c r="H218" i="1"/>
  <c r="I218" i="1" s="1"/>
  <c r="I217" i="1"/>
  <c r="H217" i="1"/>
  <c r="H216" i="1"/>
  <c r="I216" i="1" s="1"/>
  <c r="I215" i="1"/>
  <c r="H215" i="1"/>
  <c r="H214" i="1"/>
  <c r="I214" i="1" s="1"/>
  <c r="I213" i="1"/>
  <c r="H213" i="1"/>
  <c r="H212" i="1"/>
  <c r="I212" i="1" s="1"/>
  <c r="I211" i="1"/>
  <c r="H211" i="1"/>
  <c r="I210" i="1"/>
  <c r="H209" i="1"/>
  <c r="I209" i="1" s="1"/>
  <c r="G209" i="1"/>
  <c r="H208" i="1"/>
  <c r="I208" i="1" s="1"/>
  <c r="I207" i="1"/>
  <c r="H207" i="1"/>
  <c r="H206" i="1"/>
  <c r="I206" i="1" s="1"/>
  <c r="I205" i="1"/>
  <c r="H205" i="1"/>
  <c r="H204" i="1"/>
  <c r="I204" i="1" s="1"/>
  <c r="I203" i="1"/>
  <c r="H203" i="1"/>
  <c r="H202" i="1"/>
  <c r="I202" i="1" s="1"/>
  <c r="I201" i="1"/>
  <c r="H201" i="1"/>
  <c r="H200" i="1"/>
  <c r="I200" i="1" s="1"/>
  <c r="I199" i="1"/>
  <c r="H199" i="1"/>
  <c r="H198" i="1"/>
  <c r="I198" i="1" s="1"/>
  <c r="I197" i="1"/>
  <c r="H197" i="1"/>
  <c r="H196" i="1"/>
  <c r="I196" i="1" s="1"/>
  <c r="I195" i="1"/>
  <c r="H195" i="1"/>
  <c r="H194" i="1"/>
  <c r="I194" i="1" s="1"/>
  <c r="I193" i="1"/>
  <c r="I192" i="1"/>
  <c r="H192" i="1"/>
  <c r="H191" i="1"/>
  <c r="I191" i="1" s="1"/>
  <c r="G190" i="1"/>
  <c r="I189" i="1"/>
  <c r="H189" i="1"/>
  <c r="H188" i="1"/>
  <c r="I188" i="1" s="1"/>
  <c r="I187" i="1"/>
  <c r="H187" i="1"/>
  <c r="H186" i="1"/>
  <c r="I186" i="1" s="1"/>
  <c r="I185" i="1"/>
  <c r="H185" i="1"/>
  <c r="H184" i="1"/>
  <c r="I184" i="1" s="1"/>
  <c r="I183" i="1"/>
  <c r="H183" i="1"/>
  <c r="H182" i="1"/>
  <c r="I182" i="1" s="1"/>
  <c r="I181" i="1"/>
  <c r="H181" i="1"/>
  <c r="H180" i="1"/>
  <c r="I180" i="1" s="1"/>
  <c r="I179" i="1"/>
  <c r="H179" i="1"/>
  <c r="G179" i="1"/>
  <c r="H178" i="1"/>
  <c r="I178" i="1" s="1"/>
  <c r="I177" i="1"/>
  <c r="H177" i="1"/>
  <c r="H176" i="1"/>
  <c r="I176" i="1" s="1"/>
  <c r="I175" i="1"/>
  <c r="H175" i="1"/>
  <c r="H174" i="1"/>
  <c r="I174" i="1" s="1"/>
  <c r="G173" i="1"/>
  <c r="I172" i="1"/>
  <c r="H172" i="1"/>
  <c r="H171" i="1"/>
  <c r="I171" i="1" s="1"/>
  <c r="I170" i="1"/>
  <c r="H170" i="1"/>
  <c r="H169" i="1"/>
  <c r="I169" i="1" s="1"/>
  <c r="I168" i="1"/>
  <c r="I167" i="1"/>
  <c r="H167" i="1"/>
  <c r="H166" i="1"/>
  <c r="I166" i="1" s="1"/>
  <c r="I165" i="1"/>
  <c r="H165" i="1"/>
  <c r="H164" i="1"/>
  <c r="I164" i="1" s="1"/>
  <c r="G163" i="1"/>
  <c r="I162" i="1"/>
  <c r="H162" i="1"/>
  <c r="H161" i="1"/>
  <c r="I161" i="1" s="1"/>
  <c r="I160" i="1"/>
  <c r="H160" i="1"/>
  <c r="H159" i="1"/>
  <c r="I159" i="1" s="1"/>
  <c r="I158" i="1"/>
  <c r="H158" i="1"/>
  <c r="A158" i="1"/>
  <c r="H157" i="1"/>
  <c r="I157" i="1" s="1"/>
  <c r="I156" i="1"/>
  <c r="H156" i="1"/>
  <c r="H155" i="1"/>
  <c r="I155" i="1" s="1"/>
  <c r="G154" i="1"/>
  <c r="I153" i="1"/>
  <c r="H153" i="1"/>
  <c r="H152" i="1"/>
  <c r="I152" i="1" s="1"/>
  <c r="I151" i="1"/>
  <c r="H151" i="1"/>
  <c r="H150" i="1"/>
  <c r="I150" i="1" s="1"/>
  <c r="I149" i="1"/>
  <c r="H149" i="1"/>
  <c r="H148" i="1"/>
  <c r="I148" i="1" s="1"/>
  <c r="I147" i="1"/>
  <c r="H147" i="1"/>
  <c r="H146" i="1"/>
  <c r="G146" i="1"/>
  <c r="I145" i="1"/>
  <c r="H145" i="1"/>
  <c r="H144" i="1"/>
  <c r="I144" i="1" s="1"/>
  <c r="I143" i="1"/>
  <c r="H143" i="1"/>
  <c r="H142" i="1"/>
  <c r="I142" i="1" s="1"/>
  <c r="G142" i="1"/>
  <c r="H141" i="1"/>
  <c r="I141" i="1" s="1"/>
  <c r="I140" i="1"/>
  <c r="H140" i="1"/>
  <c r="H139" i="1"/>
  <c r="I139" i="1" s="1"/>
  <c r="I138" i="1"/>
  <c r="H138" i="1"/>
  <c r="H137" i="1"/>
  <c r="I137" i="1" s="1"/>
  <c r="I136" i="1"/>
  <c r="H136" i="1"/>
  <c r="G135" i="1"/>
  <c r="I134" i="1"/>
  <c r="H134" i="1"/>
  <c r="H133" i="1"/>
  <c r="I133" i="1" s="1"/>
  <c r="I132" i="1"/>
  <c r="H132" i="1"/>
  <c r="H131" i="1"/>
  <c r="I131" i="1" s="1"/>
  <c r="I130" i="1"/>
  <c r="H130" i="1"/>
  <c r="H129" i="1"/>
  <c r="I129" i="1" s="1"/>
  <c r="I128" i="1"/>
  <c r="H128" i="1"/>
  <c r="H127" i="1"/>
  <c r="I127" i="1" s="1"/>
  <c r="I126" i="1"/>
  <c r="H126" i="1"/>
  <c r="H125" i="1"/>
  <c r="I125" i="1" s="1"/>
  <c r="I124" i="1"/>
  <c r="H124" i="1"/>
  <c r="H123" i="1"/>
  <c r="I123" i="1" s="1"/>
  <c r="I122" i="1"/>
  <c r="H122" i="1"/>
  <c r="H121" i="1"/>
  <c r="I121" i="1" s="1"/>
  <c r="I120" i="1"/>
  <c r="H120" i="1"/>
  <c r="H119" i="1"/>
  <c r="I119" i="1" s="1"/>
  <c r="I118" i="1"/>
  <c r="H118" i="1"/>
  <c r="H117" i="1"/>
  <c r="I117" i="1" s="1"/>
  <c r="I116" i="1"/>
  <c r="H116" i="1"/>
  <c r="I115" i="1"/>
  <c r="H115" i="1"/>
  <c r="I114" i="1"/>
  <c r="H114" i="1"/>
  <c r="I113" i="1"/>
  <c r="H113" i="1"/>
  <c r="I112" i="1"/>
  <c r="H112" i="1"/>
  <c r="I111" i="1"/>
  <c r="I110" i="1"/>
  <c r="H110" i="1"/>
  <c r="H109" i="1"/>
  <c r="I109" i="1" s="1"/>
  <c r="I108" i="1"/>
  <c r="H108" i="1"/>
  <c r="H107" i="1"/>
  <c r="I107" i="1" s="1"/>
  <c r="I106" i="1"/>
  <c r="H106" i="1"/>
  <c r="H105" i="1"/>
  <c r="I105" i="1" s="1"/>
  <c r="I104" i="1"/>
  <c r="H104" i="1"/>
  <c r="H103" i="1"/>
  <c r="I103" i="1" s="1"/>
  <c r="I102" i="1"/>
  <c r="H102" i="1"/>
  <c r="H101" i="1"/>
  <c r="I101" i="1" s="1"/>
  <c r="I100" i="1"/>
  <c r="H100" i="1"/>
  <c r="H99" i="1"/>
  <c r="I99" i="1" s="1"/>
  <c r="I98" i="1"/>
  <c r="H98" i="1"/>
  <c r="H97" i="1"/>
  <c r="I97" i="1" s="1"/>
  <c r="I96" i="1"/>
  <c r="H96" i="1"/>
  <c r="H95" i="1"/>
  <c r="I95" i="1" s="1"/>
  <c r="I94" i="1"/>
  <c r="H94" i="1"/>
  <c r="H93" i="1"/>
  <c r="I93" i="1" s="1"/>
  <c r="I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H84" i="1"/>
  <c r="I84" i="1" s="1"/>
  <c r="I83" i="1"/>
  <c r="H83" i="1"/>
  <c r="H82" i="1"/>
  <c r="I82" i="1" s="1"/>
  <c r="I81" i="1"/>
  <c r="H81" i="1"/>
  <c r="H80" i="1"/>
  <c r="I80" i="1" s="1"/>
  <c r="I79" i="1"/>
  <c r="H79" i="1"/>
  <c r="H78" i="1"/>
  <c r="I78" i="1" s="1"/>
  <c r="I77" i="1"/>
  <c r="H77" i="1"/>
  <c r="H76" i="1"/>
  <c r="I76" i="1" s="1"/>
  <c r="I75" i="1"/>
  <c r="H75" i="1"/>
  <c r="H74" i="1"/>
  <c r="I74" i="1" s="1"/>
  <c r="I73" i="1"/>
  <c r="H73" i="1"/>
  <c r="H72" i="1"/>
  <c r="I72" i="1" s="1"/>
  <c r="I71" i="1"/>
  <c r="H71" i="1"/>
  <c r="H70" i="1"/>
  <c r="I70" i="1" s="1"/>
  <c r="I69" i="1"/>
  <c r="H69" i="1"/>
  <c r="H68" i="1"/>
  <c r="I68" i="1" s="1"/>
  <c r="I67" i="1"/>
  <c r="H67" i="1"/>
  <c r="H66" i="1"/>
  <c r="I66" i="1" s="1"/>
  <c r="I65" i="1"/>
  <c r="H65" i="1"/>
  <c r="H64" i="1"/>
  <c r="I64" i="1" s="1"/>
  <c r="I63" i="1"/>
  <c r="H63" i="1"/>
  <c r="H62" i="1"/>
  <c r="I62" i="1" s="1"/>
  <c r="I61" i="1"/>
  <c r="H61" i="1"/>
  <c r="H60" i="1"/>
  <c r="I60" i="1" s="1"/>
  <c r="I59" i="1"/>
  <c r="H59" i="1"/>
  <c r="H58" i="1"/>
  <c r="I58" i="1" s="1"/>
  <c r="I57" i="1"/>
  <c r="H57" i="1"/>
  <c r="H56" i="1"/>
  <c r="I56" i="1" s="1"/>
  <c r="I55" i="1"/>
  <c r="H55" i="1"/>
  <c r="H54" i="1"/>
  <c r="I54" i="1" s="1"/>
  <c r="I53" i="1"/>
  <c r="H53" i="1"/>
  <c r="H52" i="1"/>
  <c r="I52" i="1" s="1"/>
  <c r="I51" i="1"/>
  <c r="H51" i="1"/>
  <c r="H50" i="1"/>
  <c r="I50" i="1" s="1"/>
  <c r="I49" i="1"/>
  <c r="H49" i="1"/>
  <c r="H48" i="1"/>
  <c r="I48" i="1" s="1"/>
  <c r="I47" i="1"/>
  <c r="H47" i="1"/>
  <c r="H46" i="1"/>
  <c r="I46" i="1" s="1"/>
  <c r="I45" i="1"/>
  <c r="H45" i="1"/>
  <c r="H44" i="1"/>
  <c r="I44" i="1" s="1"/>
  <c r="I43" i="1"/>
  <c r="H43" i="1"/>
  <c r="H42" i="1"/>
  <c r="I42" i="1" s="1"/>
  <c r="I41" i="1"/>
  <c r="H41" i="1"/>
  <c r="H40" i="1"/>
  <c r="I40" i="1" s="1"/>
  <c r="I39" i="1"/>
  <c r="H39" i="1"/>
  <c r="H38" i="1"/>
  <c r="I38" i="1" s="1"/>
  <c r="I37" i="1"/>
  <c r="H37" i="1"/>
  <c r="H36" i="1"/>
  <c r="I36" i="1" s="1"/>
  <c r="I35" i="1"/>
  <c r="H35" i="1"/>
  <c r="H34" i="1"/>
  <c r="I34" i="1" s="1"/>
  <c r="I33" i="1"/>
  <c r="H33" i="1"/>
  <c r="H32" i="1"/>
  <c r="I32" i="1" s="1"/>
  <c r="I31" i="1"/>
  <c r="H31" i="1"/>
  <c r="H30" i="1"/>
  <c r="I30" i="1" s="1"/>
  <c r="I29" i="1"/>
  <c r="H29" i="1"/>
  <c r="H28" i="1"/>
  <c r="I28" i="1" s="1"/>
  <c r="I27" i="1"/>
  <c r="H27" i="1"/>
  <c r="H26" i="1"/>
  <c r="I26" i="1" s="1"/>
  <c r="I25" i="1"/>
  <c r="H25" i="1"/>
  <c r="H24" i="1"/>
  <c r="I24" i="1" s="1"/>
  <c r="I23" i="1"/>
  <c r="H23" i="1"/>
  <c r="H22" i="1"/>
  <c r="I22" i="1" s="1"/>
  <c r="I21" i="1"/>
  <c r="H21" i="1"/>
  <c r="H20" i="1"/>
  <c r="I20" i="1" s="1"/>
  <c r="I19" i="1"/>
  <c r="H19" i="1"/>
  <c r="H18" i="1"/>
  <c r="I18" i="1" s="1"/>
  <c r="I17" i="1"/>
  <c r="H17" i="1"/>
  <c r="I16" i="1"/>
  <c r="I15" i="1"/>
  <c r="H15" i="1"/>
  <c r="H14" i="1"/>
  <c r="I14" i="1" s="1"/>
  <c r="I13" i="1"/>
  <c r="H13" i="1"/>
  <c r="H12" i="1"/>
  <c r="I12" i="1" s="1"/>
  <c r="I11" i="1"/>
  <c r="H11" i="1"/>
  <c r="H10" i="1"/>
  <c r="I10" i="1" s="1"/>
  <c r="I9" i="1"/>
  <c r="H9" i="1"/>
  <c r="H8" i="1"/>
  <c r="I8" i="1" s="1"/>
  <c r="I7" i="1"/>
  <c r="H7" i="1"/>
  <c r="H257" i="1" l="1"/>
  <c r="I257" i="1" s="1"/>
  <c r="I190" i="1"/>
  <c r="I135" i="1"/>
  <c r="I146" i="1"/>
  <c r="H135" i="1"/>
  <c r="H154" i="1"/>
  <c r="I154" i="1" s="1"/>
  <c r="H163" i="1"/>
  <c r="I163" i="1" s="1"/>
  <c r="I173" i="1"/>
  <c r="I248" i="1"/>
  <c r="H173" i="1"/>
  <c r="H190" i="1"/>
  <c r="H248" i="1"/>
</calcChain>
</file>

<file path=xl/sharedStrings.xml><?xml version="1.0" encoding="utf-8"?>
<sst xmlns="http://schemas.openxmlformats.org/spreadsheetml/2006/main" count="2416" uniqueCount="727">
  <si>
    <t>CRESCENT POWER LIMITED</t>
  </si>
  <si>
    <t>POWER PLANT PURCHASE ORDER REGISTER (24-25)</t>
  </si>
  <si>
    <t>SERIAL NO.</t>
  </si>
  <si>
    <t>ORDER NO.</t>
  </si>
  <si>
    <t>ORDER DATE</t>
  </si>
  <si>
    <t>ISSUED TO</t>
  </si>
  <si>
    <t>VENDOR LOCATION</t>
  </si>
  <si>
    <t>SUBJECT</t>
  </si>
  <si>
    <t>BASIC ORDER 
VALUE</t>
  </si>
  <si>
    <t>GST</t>
  </si>
  <si>
    <t>TOTAL ORDER VALUE</t>
  </si>
  <si>
    <t>DEALING OFFICER</t>
  </si>
  <si>
    <t>ISSUING OFFICIAL</t>
  </si>
  <si>
    <t>AMENDMENT</t>
  </si>
  <si>
    <t>AMENDMENT DATE</t>
  </si>
  <si>
    <t>AMENDED VALUE</t>
  </si>
  <si>
    <t>SCHEME NO.</t>
  </si>
  <si>
    <t>BUDGET HEAD</t>
  </si>
  <si>
    <t>MSME STATUS</t>
  </si>
  <si>
    <t>REMARKS</t>
  </si>
  <si>
    <t>CPL/PO/PP/001/24-25</t>
  </si>
  <si>
    <t>MILLENNIUM CYBERWORKS AND CO. LLP</t>
  </si>
  <si>
    <t>WEST BENGAL</t>
  </si>
  <si>
    <t>SUPPLY OF CANON MAKE PRINTER FOR OUR KOLKATA HEAD OFFICE</t>
  </si>
  <si>
    <t>SUJIT KAR</t>
  </si>
  <si>
    <t>AUTHORIZED SIGNATORY</t>
  </si>
  <si>
    <t>CPL/CAP/001/24-25</t>
  </si>
  <si>
    <t>CAPEX</t>
  </si>
  <si>
    <t>YES</t>
  </si>
  <si>
    <t>PROCUREMENT OF OFFICE EQUP.</t>
  </si>
  <si>
    <t>Signed by KB. DKD Sick</t>
  </si>
  <si>
    <t>CPL/PO/PP/002/24-25</t>
  </si>
  <si>
    <t>TEGA McNALLY MINERALS LIMITED</t>
  </si>
  <si>
    <t>KARNATAKA</t>
  </si>
  <si>
    <t>SUPPLY OF CHARGE PUMP SPARES</t>
  </si>
  <si>
    <t>SIRSENDU BHATTACHARJEE</t>
  </si>
  <si>
    <t>2B</t>
  </si>
  <si>
    <t>NO</t>
  </si>
  <si>
    <t>CSP 24-25</t>
  </si>
  <si>
    <t>CPL/PO/PP/003/24-25</t>
  </si>
  <si>
    <t>FLOWTECH SOLUTIONS LLP</t>
  </si>
  <si>
    <t>SUPPLY OF WILO MAKE PUMP FOR AIR WASHERY FAN</t>
  </si>
  <si>
    <t>CPL/CAP/002/24-25</t>
  </si>
  <si>
    <r>
      <t>PROCUREMENT OF INS. SPARES &amp; OTHER PM 1</t>
    </r>
    <r>
      <rPr>
        <b/>
        <vertAlign val="superscript"/>
        <sz val="10"/>
        <color indexed="53"/>
        <rFont val="Tahoma"/>
        <family val="2"/>
      </rPr>
      <t>st</t>
    </r>
    <r>
      <rPr>
        <b/>
        <sz val="10"/>
        <color indexed="53"/>
        <rFont val="Tahoma"/>
        <family val="2"/>
      </rPr>
      <t xml:space="preserve"> QTR.</t>
    </r>
  </si>
  <si>
    <t>CPL/PO/PP/004/24-25</t>
  </si>
  <si>
    <t>GMM PFAUDLER LIMITED</t>
  </si>
  <si>
    <t>GUJARAT</t>
  </si>
  <si>
    <t>SUPPLY OF SPARES FOR AGITATOR MIXER</t>
  </si>
  <si>
    <t>CPL/PO/PP/005/24-25</t>
  </si>
  <si>
    <t>SPARES &amp; EQUIPMENT EMPORIUM</t>
  </si>
  <si>
    <t>SUPPLY OF D&amp;H MAKE WELDING ELECTRODES</t>
  </si>
  <si>
    <t>4D</t>
  </si>
  <si>
    <t>CPL/PO/PP/006/24-25</t>
  </si>
  <si>
    <t>ROYAL ENGINEERING CO.</t>
  </si>
  <si>
    <t>SUPPLY OF BOSCH MAKE CUTTING WHEEL</t>
  </si>
  <si>
    <t>CPL/PO/PP/007/24-25</t>
  </si>
  <si>
    <t>FINLAY INSULATIONS</t>
  </si>
  <si>
    <t xml:space="preserve">SUPPLY OF CERAMIC BLANKET </t>
  </si>
  <si>
    <t>CPL/PO/PP/008/24-25</t>
  </si>
  <si>
    <t>MAYANK STORES AGENCY</t>
  </si>
  <si>
    <t>SUPPLY OF REGULAR TOOLS &amp; TACKLES</t>
  </si>
  <si>
    <t>CPL/PO/PP/009/24-25</t>
  </si>
  <si>
    <t>A.K. JAIN &amp; SONS</t>
  </si>
  <si>
    <t>SUPPLY OF REGULAR CONSUMABLE ITEMS</t>
  </si>
  <si>
    <t>CPL/PO/PP/010/24-25</t>
  </si>
  <si>
    <t>UNITED PAINTS AND HARDWARES</t>
  </si>
  <si>
    <t>SUPPLY OF WOOD CHAR COAL</t>
  </si>
  <si>
    <t>N.A.</t>
  </si>
  <si>
    <t>CSP 24-25 OPERATION</t>
  </si>
  <si>
    <t>CPL/PO/PP/011/24-25</t>
  </si>
  <si>
    <t>THE SEN &amp; CO.</t>
  </si>
  <si>
    <t>SUPPLY OF INSERT SEAL FOR DOME VALVE</t>
  </si>
  <si>
    <t>CPL/PO/PP/012/24-25</t>
  </si>
  <si>
    <t>RANA ENTERPRISE</t>
  </si>
  <si>
    <t>SUPPLY OF COUPLING WITH PILOT BORE</t>
  </si>
  <si>
    <t>CPL/PO/PP/013/24-25</t>
  </si>
  <si>
    <t>DUGAR STEEL CORPORATION</t>
  </si>
  <si>
    <t>SUPPLY OF ECONOMISER COIL STRAIGHT TUBE</t>
  </si>
  <si>
    <t>CPL/PO/PP/013A/24-25</t>
  </si>
  <si>
    <t>2A2</t>
  </si>
  <si>
    <t>PROCUREMENT OF INS. SPARES &amp; OTHER PM</t>
  </si>
  <si>
    <t>CPL/PO/PP/014/24-25</t>
  </si>
  <si>
    <t>T. P. BHATTACHARJEE &amp; CO. PVT. LTD.</t>
  </si>
  <si>
    <t>SUPPLY OF KSB MAKE VALVES</t>
  </si>
  <si>
    <t>5A</t>
  </si>
  <si>
    <t>EMERGENCY SHUTDOWN</t>
  </si>
  <si>
    <t>CPL/PO/PP/015/24-25</t>
  </si>
  <si>
    <t>CPL/PO/PP/016/24-25</t>
  </si>
  <si>
    <t xml:space="preserve">SUPPLY OF HITACHI MAKE GRINDING MACHINE </t>
  </si>
  <si>
    <t>CPL/PO/PP/017/24-25</t>
  </si>
  <si>
    <t>AJANTA STEEL TRADING CORPORATION</t>
  </si>
  <si>
    <t>SUPPLY OF STRUCTURAL STEEL ITEMS</t>
  </si>
  <si>
    <t>PRABAL MITRA</t>
  </si>
  <si>
    <t>CPL/PO/PP/017A/24-25</t>
  </si>
  <si>
    <t>CPL/PO/PP/018/24-25</t>
  </si>
  <si>
    <t>SERVETECH ENTERPRISE</t>
  </si>
  <si>
    <t>SUPPLY OF SPARES FOR ALFA LAVAL MAKE OPU</t>
  </si>
  <si>
    <t>CPL/PO/PP/019/24-25</t>
  </si>
  <si>
    <t>SUPPLY OF LRB MATS</t>
  </si>
  <si>
    <t>CPL/PO/PP/020/24-25</t>
  </si>
  <si>
    <t>SHREE VENKATESHWARA ELECTRICS</t>
  </si>
  <si>
    <t>SUPPLY OF ELECTRICAL CABLE AND ACCESSORIES</t>
  </si>
  <si>
    <t>5A, 2B</t>
  </si>
  <si>
    <t>CPL/PO/PP/021/24-25</t>
  </si>
  <si>
    <t>ELEQUIP TOOLS PRIVATE LIMITED</t>
  </si>
  <si>
    <t>SUPPLY OF INDEF MAKE CHAIN PULLEY BLOCK</t>
  </si>
  <si>
    <t>CPL/PO/PP/022/24-25</t>
  </si>
  <si>
    <t>SUPPLY OF BOSCH MAKE FLAP WHEEL</t>
  </si>
  <si>
    <t>CPL/PO/PP/023/24-25</t>
  </si>
  <si>
    <t>SUPPLY OF MS PIPES AND SS PLATE</t>
  </si>
  <si>
    <t>CPL/PO/PP/023A/24-25</t>
  </si>
  <si>
    <t>CPL/PO/PP/024/24-25</t>
  </si>
  <si>
    <t>PATESARIA BROTHERS</t>
  </si>
  <si>
    <t>SUPPLY OF TURBINE OIL SERVO PRIME 46T</t>
  </si>
  <si>
    <t>3A</t>
  </si>
  <si>
    <t>CPL/PO/PP/025/24-25</t>
  </si>
  <si>
    <t>ENGG. CONCERN KHARDAHA</t>
  </si>
  <si>
    <t>SUPPLY OF SLIDE GATE VALVE FOR BED MATERIAL DRAIN</t>
  </si>
  <si>
    <t>CPL/PO/PP/026/24-25</t>
  </si>
  <si>
    <t>DKD RESUMES</t>
  </si>
  <si>
    <t>CPL/PO/PP/027/24-25</t>
  </si>
  <si>
    <t>CPL/PO/PP/028/24-25</t>
  </si>
  <si>
    <t>CPL/PO/PP/029/24-25</t>
  </si>
  <si>
    <t>SUPPLY OF SAIL HARD PLATE &amp; OTHER STRUCTURAL ITEMS</t>
  </si>
  <si>
    <t>CPL/PO/PP/029A/24-25</t>
  </si>
  <si>
    <t>CPL/PO/PP/030/24-25</t>
  </si>
  <si>
    <t>SANJOY GRINDING SERVICE</t>
  </si>
  <si>
    <t>SUPPLY OF DIFFERENT SIZES OF ROLLERS</t>
  </si>
  <si>
    <t>CPL/PO/PP/031/24-25</t>
  </si>
  <si>
    <t>INDIRA MOHAN VANIJYA</t>
  </si>
  <si>
    <t>SUPPLY OF LIGHT DIESEL OIL</t>
  </si>
  <si>
    <t>JAYANTA DAS</t>
  </si>
  <si>
    <t>EMERGENCY ARRANGEMENT DUE TO PLANT SHUTDOWN</t>
  </si>
  <si>
    <t>CPL/PO/PP/032/24-25</t>
  </si>
  <si>
    <t>TARAMA TRADING COMPANY</t>
  </si>
  <si>
    <t>SUPPLY OF HYDROCHLORIC ACID &amp; CAUSTIC SODA LYE</t>
  </si>
  <si>
    <t>CPL/PO/PP/032A/24-25</t>
  </si>
  <si>
    <t>3B</t>
  </si>
  <si>
    <t>CPL/PO/PP/033/24-25</t>
  </si>
  <si>
    <t>CPL/PO/PP/034/24-25</t>
  </si>
  <si>
    <t>CPL/PO/PP/035/24-25</t>
  </si>
  <si>
    <t>SUPPLY OF RUBBER SEAL, GASKET ETC.</t>
  </si>
  <si>
    <t>CPL/PO/PP/036/24-25</t>
  </si>
  <si>
    <t>INFOTEK SERVICES</t>
  </si>
  <si>
    <t>SUPPLY OF DIMM MEMORY UNIT FOR SERVER</t>
  </si>
  <si>
    <t>OFFICE MAINTENANCE</t>
  </si>
  <si>
    <t>CPL/PO/PP/037/24-25</t>
  </si>
  <si>
    <t>SUPPLY OF BED COIL SHIELD WITH CLAMP</t>
  </si>
  <si>
    <t>CPL/PO/PP/038/24-25</t>
  </si>
  <si>
    <t>CPL/PO/PP/039/24-25</t>
  </si>
  <si>
    <t>SUPPLY OF ELECTRICAL EXTENSION BOARD</t>
  </si>
  <si>
    <t>CPL/PO/PP/040/24-25</t>
  </si>
  <si>
    <t>CPL/PO/PP/041/24-25</t>
  </si>
  <si>
    <t>DRISHTI POWERTECH LLP</t>
  </si>
  <si>
    <t>SUPPLY OF COSMO MAKE PLUMMER BLOCKS</t>
  </si>
  <si>
    <t>CPL/PO/PP/042/24-25</t>
  </si>
  <si>
    <t>PRAGATI ENGINEERS &amp; CONSULTANTANTS</t>
  </si>
  <si>
    <t>MAHARASHTRA</t>
  </si>
  <si>
    <t>SUPPLY OF SPARES FOR GENERATOR BUS BAR</t>
  </si>
  <si>
    <t>CPL/PO/PP/043/24-25</t>
  </si>
  <si>
    <t>TYCOON CONCERN</t>
  </si>
  <si>
    <t>SUPPLY OF GENERATOR AIR COOLER FELT FILTER</t>
  </si>
  <si>
    <t>CPL/PO/PP/044/24-25</t>
  </si>
  <si>
    <t>MOHTA UDYOG</t>
  </si>
  <si>
    <t>SUPPLY OF 3M MAKE RUBBER MASTIC TAPE</t>
  </si>
  <si>
    <t>CPL/PO/PP/045/24-25</t>
  </si>
  <si>
    <t>S. R. ENTERPRISE</t>
  </si>
  <si>
    <t>SUPPLY OF VARIOUS SAFETY ITEMS</t>
  </si>
  <si>
    <t>CPL/PO/PP/046/24-25</t>
  </si>
  <si>
    <t>P P ENTERPRISE</t>
  </si>
  <si>
    <t>SUPPLY OF MISCELLANEOUS SAFETY ITEMS</t>
  </si>
  <si>
    <t>CPL/PO/PP/047/24-25</t>
  </si>
  <si>
    <t>JOSEPH LESLIE &amp; CO. LLP</t>
  </si>
  <si>
    <t>SUPPLY OF BOILER SUIT WITH VISOR HOOD</t>
  </si>
  <si>
    <t>CPL/PO/PP/048/24-25</t>
  </si>
  <si>
    <t>V R ENTERPRISES</t>
  </si>
  <si>
    <t>UTTAR PRADESH</t>
  </si>
  <si>
    <t>SUPPLY OF DOZZ MAKE RUBBER HOSE</t>
  </si>
  <si>
    <t>CPL/PO/PP/049/24-25</t>
  </si>
  <si>
    <t>JALAN REFRATECH PVT. LTD.</t>
  </si>
  <si>
    <t>JHARKHAND</t>
  </si>
  <si>
    <t>SUPPLY OF BOILER BED MATERIAL</t>
  </si>
  <si>
    <t>CPL/PO/PP/049A/24-25</t>
  </si>
  <si>
    <t>CPL/PO/PP/050/24-25</t>
  </si>
  <si>
    <t>CPL/PO/PP/051/24-25</t>
  </si>
  <si>
    <t>SUPPLY OF WOOVEN WIRE SCREEN CLOTH</t>
  </si>
  <si>
    <t>CPL/PO/PP/052/24-25</t>
  </si>
  <si>
    <t>CANTEEN &amp; KITCHEN APPLIANCES</t>
  </si>
  <si>
    <t>SUPPLY OF COIL HEATER FOR CANTEEN MAKE ELECTRIC SEGREE</t>
  </si>
  <si>
    <t>OFFICE EXPENSES</t>
  </si>
  <si>
    <t>CPL/PO/PP/053/24-25</t>
  </si>
  <si>
    <t>SUPPLY OF IOCL MAKE LUBRICANTS</t>
  </si>
  <si>
    <t>CPL/PO/PP/054/24-25</t>
  </si>
  <si>
    <t>RICO ELECTRONIC &amp; APPLIANCES</t>
  </si>
  <si>
    <t>SUPPLY OF LG MAKE LED TV</t>
  </si>
  <si>
    <t>CPL/CAP/003/24-25</t>
  </si>
  <si>
    <t>OFFICE EQUIPMENT</t>
  </si>
  <si>
    <t>CPL/PO/PP/055/24-25</t>
  </si>
  <si>
    <t>KSB MIL CONTROLS LIMITED</t>
  </si>
  <si>
    <t>KERALA</t>
  </si>
  <si>
    <t>SUPPLY OF SPARES FOR MIL CONTROLS MAKE CONTROL VALVE</t>
  </si>
  <si>
    <t>CPL/PO/PP/056/24-25</t>
  </si>
  <si>
    <t>CPL/PO/PP/057/24-25</t>
  </si>
  <si>
    <t>P.D. HYDRAULICS</t>
  </si>
  <si>
    <t>SUPPLY OF HP HYDRAULIC HOSES</t>
  </si>
  <si>
    <t>CPL/PO/PP/058/24-25</t>
  </si>
  <si>
    <t>TAMKAN</t>
  </si>
  <si>
    <t>SUPPLY OF SPARES FOR STATIONARY ROCK BREAKER</t>
  </si>
  <si>
    <t>CPL/PO/PP/059/24-25</t>
  </si>
  <si>
    <t>JAYPEE ENGG. &amp; HYDRAULIC EQPT. CO. LTD.</t>
  </si>
  <si>
    <t>SUPPLY OF SPARES FOR JAYPEE MAKE STATIONARY ROCK BREAKER</t>
  </si>
  <si>
    <t>CPL/PO/PP/060/24-25</t>
  </si>
  <si>
    <t>VERTIV ENERGY PRIVATE LIMITED</t>
  </si>
  <si>
    <t>SUPPLY OF AC &amp; DC CAPACITOR FOR HIPULSE UPS</t>
  </si>
  <si>
    <t>CPL/PO/PP/061/24-25</t>
  </si>
  <si>
    <t>SUPPLY OF CANON MAKE PRINTER CARTIDGE FOR OUR KOLKATA HEAD OFFICE</t>
  </si>
  <si>
    <t>OFFICE EXPENSE</t>
  </si>
  <si>
    <t>CPL/PO/PP/062/24-25</t>
  </si>
  <si>
    <t>MILLANO IT SOLUTIONS PVT. LTD.</t>
  </si>
  <si>
    <t>CPL/PO/PP/063/24-25</t>
  </si>
  <si>
    <t>MAA LAXMI TRADERS</t>
  </si>
  <si>
    <t>SUPPLY OF EXIDE MAKE BATTERY</t>
  </si>
  <si>
    <t>CPL/PO/PP/064/24-25</t>
  </si>
  <si>
    <t>MEHRU ELECTRICAL &amp; MECHANICAL ENGINEERS PVT. LTD.</t>
  </si>
  <si>
    <t>RAJASTHAN</t>
  </si>
  <si>
    <t>SUPPLY OF MEHRU MAKE 132 KV POTENTIAL TRANSFORMER</t>
  </si>
  <si>
    <t>PROCUREMENT OF INS. SPARES &amp; OTHER PM 1st QTR.</t>
  </si>
  <si>
    <t>CPL/PO/PP/065/24-25</t>
  </si>
  <si>
    <t>METRO INSTRUMENTS</t>
  </si>
  <si>
    <t>SUPPLY OF MECO MAKE DIFFERENT TYPES OF METER</t>
  </si>
  <si>
    <t>CPL/PO/PP/066/24-25</t>
  </si>
  <si>
    <t>CABCON INDIA LIMITED</t>
  </si>
  <si>
    <t>SUPPLY OF CABCON MAKE AAAC PANTHER CONDUCTOR</t>
  </si>
  <si>
    <t>CPL/PO/PP/067/24-25</t>
  </si>
  <si>
    <t>SUPPLY OF SULPHHURIC ACID</t>
  </si>
  <si>
    <t>CPL/PO/PP/067A/24-25</t>
  </si>
  <si>
    <t>CPL/PO/PP/068/24-25</t>
  </si>
  <si>
    <t>SUPPLY OF 15W 40 ENGINE OIL</t>
  </si>
  <si>
    <t>CPL/PO/PP/069/24-25</t>
  </si>
  <si>
    <t>PRERANA ENGINEERS &amp; CONSULTANTS PVT. LTD.</t>
  </si>
  <si>
    <t>SUPPLY OF MAXTREAT 3330 H</t>
  </si>
  <si>
    <t>CPL/PO/PP/070/24-25</t>
  </si>
  <si>
    <t>YASH ENTERPRISE</t>
  </si>
  <si>
    <t>SUPPLY OF NEROLAC MAKE PAINTS</t>
  </si>
  <si>
    <t>CPL/PO/PP/071/24-25</t>
  </si>
  <si>
    <t>ELECON ENGINEERING CO. LTD.</t>
  </si>
  <si>
    <t>SUPPLY OF ELECON MAKE FLUID COUPLING ASSEMBLY</t>
  </si>
  <si>
    <r>
      <t>PROCUREMENT OF INS. SPARES &amp; OTHER PM 1</t>
    </r>
    <r>
      <rPr>
        <b/>
        <vertAlign val="superscript"/>
        <sz val="10"/>
        <color indexed="53"/>
        <rFont val="Tahoma"/>
        <family val="2"/>
      </rPr>
      <t xml:space="preserve">st </t>
    </r>
    <r>
      <rPr>
        <b/>
        <sz val="10"/>
        <color indexed="53"/>
        <rFont val="Tahoma"/>
        <family val="2"/>
      </rPr>
      <t>QTR.</t>
    </r>
  </si>
  <si>
    <t>CPL/PO/PP/072/24-25</t>
  </si>
  <si>
    <t>SHREE KHAITAN TRADERS</t>
  </si>
  <si>
    <t>CPL/PO/PP/073/24-25</t>
  </si>
  <si>
    <t>NARAYAN TRADING CO.</t>
  </si>
  <si>
    <t>SUPPLY OF PANTHAR TO PANTHAR CONNECTOR &amp; STUD</t>
  </si>
  <si>
    <t>CPL/PO/PP/074/24-25</t>
  </si>
  <si>
    <t>CPL/PO/PP/075/24-25</t>
  </si>
  <si>
    <t>RAJU ENTERPRISES</t>
  </si>
  <si>
    <t>SUPPLY OF SCHNEIDER MAKE ELECTRICAL ACCESSORIES</t>
  </si>
  <si>
    <t>CPL/PO/PP/076/24-25</t>
  </si>
  <si>
    <t>TECHNO SOLUTION</t>
  </si>
  <si>
    <t>SUPPLY OF OPTICAL FIBRE CABLE AND MEDIA CONVERTER</t>
  </si>
  <si>
    <t>CPL/PO/PP/077/24-25</t>
  </si>
  <si>
    <t>CICSA CHAINS INDIA PVT. LTD.</t>
  </si>
  <si>
    <t>SUPPLY OF SET OF LINK CHAINS AND CONNECTORS</t>
  </si>
  <si>
    <t>CPL/CAP/006/24-25</t>
  </si>
  <si>
    <t>2A2, 2B</t>
  </si>
  <si>
    <r>
      <t>PROCUREMENT OF INS. SPARES &amp; OTHER PM 2</t>
    </r>
    <r>
      <rPr>
        <b/>
        <vertAlign val="superscript"/>
        <sz val="10"/>
        <color indexed="53"/>
        <rFont val="Tahoma"/>
        <family val="2"/>
      </rPr>
      <t>nd</t>
    </r>
    <r>
      <rPr>
        <b/>
        <sz val="10"/>
        <color indexed="53"/>
        <rFont val="Tahoma"/>
        <family val="2"/>
      </rPr>
      <t xml:space="preserve"> QTR.</t>
    </r>
  </si>
  <si>
    <t>CPL/PO/PP/078/24-25</t>
  </si>
  <si>
    <t>CPL/PO/PP/079/24-25</t>
  </si>
  <si>
    <t>CHEMICALS &amp; INSTRUMENTS CORPORATION</t>
  </si>
  <si>
    <t>SUPPLY OF SILICON CARBIDE HEATING ROD</t>
  </si>
  <si>
    <t>CPL/PO/PP/080/24-25</t>
  </si>
  <si>
    <t>NEMCHAND TIKAMCHAND</t>
  </si>
  <si>
    <t>SUPPLY OF D-LINK MAKE 8 PORT GIGABIT POE UNMANAGED DESKTOP SWICTH</t>
  </si>
  <si>
    <t>CANCELLED</t>
  </si>
  <si>
    <t>CPL/PO/PP/081/24-25</t>
  </si>
  <si>
    <t>SUPPLY OF DELL MAKE RAM AND HDD</t>
  </si>
  <si>
    <r>
      <t>PROCUREMENT OF OFFICE EQUIPMENT - SITE (1</t>
    </r>
    <r>
      <rPr>
        <b/>
        <vertAlign val="superscript"/>
        <sz val="10"/>
        <color indexed="53"/>
        <rFont val="Tahoma"/>
        <family val="2"/>
      </rPr>
      <t>st</t>
    </r>
    <r>
      <rPr>
        <b/>
        <sz val="10"/>
        <color indexed="53"/>
        <rFont val="Tahoma"/>
        <family val="2"/>
      </rPr>
      <t xml:space="preserve"> HALF)</t>
    </r>
  </si>
  <si>
    <t>CPL/PO/PP/082/24-25</t>
  </si>
  <si>
    <t>COGNITECH IT CONSULTANCY</t>
  </si>
  <si>
    <t>SUPPLY OF CCTV SYSTEM ACCESSORIES</t>
  </si>
  <si>
    <t>CPL/PO/PP/083/24-25</t>
  </si>
  <si>
    <t>SUPPLY OF SODIUM HYPOCHLORITE</t>
  </si>
  <si>
    <t>CPL/PO/PP/084/24-25</t>
  </si>
  <si>
    <t>SUNIL CHEMICALS</t>
  </si>
  <si>
    <t>SUPPLY OF HYDRAZINE HYDRATE</t>
  </si>
  <si>
    <t>CPL/PO/PP/085/24-25</t>
  </si>
  <si>
    <t xml:space="preserve">SUPPLY OF VARIOUS COMPUTER HARDWARE ITEMS </t>
  </si>
  <si>
    <t>CPL/PO/PP/086/24-25</t>
  </si>
  <si>
    <t>SUPPLY OF HIGH SPEED DIESEL</t>
  </si>
  <si>
    <t>CPL/PO/PP/087/24-25</t>
  </si>
  <si>
    <t>SSK ELECTRICALS EQUIPMENT LLP</t>
  </si>
  <si>
    <t>SUPPLY OF CG MAKE 18 LED LIGHT FOR KOLKATA OFFICE</t>
  </si>
  <si>
    <t>CPL/PO/PP/088/24-25</t>
  </si>
  <si>
    <t>KOOL MAKE (INDIA)</t>
  </si>
  <si>
    <t>SUPPLY OF VOLTAS MAKE NON INVERTER AIR CONDITIONER</t>
  </si>
  <si>
    <r>
      <t>PROCUREMENT OF OFFICE EQUIP. - HO (1</t>
    </r>
    <r>
      <rPr>
        <b/>
        <vertAlign val="superscript"/>
        <sz val="10"/>
        <color indexed="53"/>
        <rFont val="Tahoma"/>
        <family val="2"/>
      </rPr>
      <t>st</t>
    </r>
    <r>
      <rPr>
        <b/>
        <sz val="10"/>
        <color indexed="53"/>
        <rFont val="Tahoma"/>
        <family val="2"/>
      </rPr>
      <t xml:space="preserve"> HALF)</t>
    </r>
  </si>
  <si>
    <t>CPL/PO/PP/089/24-25</t>
  </si>
  <si>
    <t>CPL/PO/PP/090/24-25</t>
  </si>
  <si>
    <t>SUPPLY OF SCHNEIDER MAKE MICOM RELAY</t>
  </si>
  <si>
    <t>CPL/PO/PP/091/24-25</t>
  </si>
  <si>
    <t>SPM INSTRUMENT INDIA PVT. LTD.</t>
  </si>
  <si>
    <t>TENANGANA</t>
  </si>
  <si>
    <t>SUPPLY OF VIBRATION TRANSMITTER AND ISOLATOR</t>
  </si>
  <si>
    <t>CPL/PO/PP/092/24-25</t>
  </si>
  <si>
    <t>CPL/PO/PP/093/24-25</t>
  </si>
  <si>
    <t>MEMCO INDIA</t>
  </si>
  <si>
    <t>SUPPLY OF 14 W LED BULB</t>
  </si>
  <si>
    <t>CPL/PO/PP/094/24-25</t>
  </si>
  <si>
    <t>SUPPLY OF HYDRAULIC HOSE ASSEMBLY</t>
  </si>
  <si>
    <t>CPL/PO/PP/095/24-25</t>
  </si>
  <si>
    <t>ACCSYS ELECTRONICS</t>
  </si>
  <si>
    <t>TAMIL NADU</t>
  </si>
  <si>
    <t>SUPPLY OF MICROCONTROLLER BASED TEMPERATURE SCANNER</t>
  </si>
  <si>
    <t>CPL/PO/PP/096/24-25</t>
  </si>
  <si>
    <t>SUPPLY OF AIR WASHERY SUCTION DOOR</t>
  </si>
  <si>
    <t>CPL/PO/PP/097/24-25</t>
  </si>
  <si>
    <t>CPL/PO/PP/098/24-25</t>
  </si>
  <si>
    <t>CPL/PO/PP/099/24-25</t>
  </si>
  <si>
    <t>VYAS &amp; CO.</t>
  </si>
  <si>
    <t>SUPPLY OF GODREJ INTERIO MAKE CHAIRS</t>
  </si>
  <si>
    <t>CPL/PO/PP/100/24-25</t>
  </si>
  <si>
    <t>ORIENTAL COMPRESSOR ACCESSORIES PVT. LTD.</t>
  </si>
  <si>
    <t>SUPPLY OF SPARES FOR AIR COMPRESSORS</t>
  </si>
  <si>
    <t>CPL/PO/PP/101/24-25</t>
  </si>
  <si>
    <t>STAR DYNAMIC ENTERPRISES</t>
  </si>
  <si>
    <t>SUPPLY OF SPARES FOR KIRLOSKAR MAKE AIR COMPRESSOR</t>
  </si>
  <si>
    <t>CPL/PO/PP/102/24-25</t>
  </si>
  <si>
    <t>SUPPLY OF IOCL MAKE SERVO GEM EP2 GREASE</t>
  </si>
  <si>
    <t>CPL/PO/PP/103/24-25</t>
  </si>
  <si>
    <t>SOUTHERN MAGNETICS PVT. LTD.</t>
  </si>
  <si>
    <t>SUPPLY OF SOUTHERN MAGNETICS MAKE AXIAL FLOW FAN FOR OUR 40 MW POWER PLANT AT ASANSOL</t>
  </si>
  <si>
    <t>CPL/PO/PP/104/24-25</t>
  </si>
  <si>
    <t>JAGANNATH ENTERPRISE</t>
  </si>
  <si>
    <t>SUPPLY OF KARAM MAKE SAFETY SHOE</t>
  </si>
  <si>
    <t>CPL/PO/PP/105/24-25</t>
  </si>
  <si>
    <t>SUPPLY OF PVC GUM BOOT &amp; RAIN SUIT</t>
  </si>
  <si>
    <t>CPL/PO/PP/106/24-25</t>
  </si>
  <si>
    <t>CPL/PO/PP/107/24-25</t>
  </si>
  <si>
    <t>COMPUTER TECHNOLOGY SERVICES</t>
  </si>
  <si>
    <t>SUPPLY OF HP MAKE LAPTOP FOR OUR KOLKATA OFFICE</t>
  </si>
  <si>
    <t>CPL/PO/PP/108/24-25</t>
  </si>
  <si>
    <t>MACHINE TOOLS CENTRE</t>
  </si>
  <si>
    <t>SUPPLY OF SWITZER MAKE PRESSURE SWITCH</t>
  </si>
  <si>
    <t>CPL/PO/PP/109/24-25</t>
  </si>
  <si>
    <t>PARAG FANS &amp; COOLING SYSTEMS LTD.</t>
  </si>
  <si>
    <t>MADHYA PRADESH</t>
  </si>
  <si>
    <t>SUPPLY, ERECTION AND COMMISSIONING SUPERVISION OF ENERGY EFFICIENT AERODYNAMICALLY DESIGNED AXIAL FLOW FRP FAN BLADES FOR COOLING TOWER</t>
  </si>
  <si>
    <t>CPL/PO/PP/110/24-25</t>
  </si>
  <si>
    <t>MINERAL PROCESS EQUIPMENT PVT. LTD.</t>
  </si>
  <si>
    <t xml:space="preserve">SUPPLY OF MINERAL PROCESS EQUIPMENT MAKE VIBRATORY DISC MILL FOR OUR 40MW POWER PLANT AT ASANSOL </t>
  </si>
  <si>
    <t>CPL/PO/PP/111/24-25</t>
  </si>
  <si>
    <t xml:space="preserve">SUPPLY OF CHEMINCO MAKE DOUBLE ROLL CRUSHER FOR OUR 40MW POWER PLANT AT ASANSOL  </t>
  </si>
  <si>
    <t>CPL/PO/PP/112/24-25</t>
  </si>
  <si>
    <t>ROYAL ENGINEERING CORPORATION</t>
  </si>
  <si>
    <t>SUPPLY OF EXPANSION BELLOW</t>
  </si>
  <si>
    <t>CPL/PO/PP/113/24-25</t>
  </si>
  <si>
    <t>CPL/PO/PP/114/24-25</t>
  </si>
  <si>
    <t>CPL/PO/PP/115/24-25</t>
  </si>
  <si>
    <t>SPECTRUM ENTERPRISES</t>
  </si>
  <si>
    <t>SUPPLY OF MEDIUM INTENSITY AVIATION OBSTRUCTION LIGHT</t>
  </si>
  <si>
    <t>CPL/PO/PP/116/24-25</t>
  </si>
  <si>
    <t>CPL/PO/PP/117/24-25</t>
  </si>
  <si>
    <t>DHARA ENGINEERING WORKS</t>
  </si>
  <si>
    <t>SUPPLY OF SS304 ROUND HOLE PERFORATED SHEET</t>
  </si>
  <si>
    <t>CPL/PO/PP/118/24-25</t>
  </si>
  <si>
    <t>SUPPLY OF ACI BENDS</t>
  </si>
  <si>
    <t>CPL/PO/PP/119/24-25</t>
  </si>
  <si>
    <t>CPL/PO/PP/120/24-25</t>
  </si>
  <si>
    <t>SUPPLY OF NEROLAC MAKE LIQUID PUTTY</t>
  </si>
  <si>
    <t>CPL/PO/PP/121/24-25</t>
  </si>
  <si>
    <t>INFOTOOLZ</t>
  </si>
  <si>
    <t>SUPPLY OF TONER FOR CANON MAKE PRINTER</t>
  </si>
  <si>
    <t>CPL/PO/PP/122/24-25</t>
  </si>
  <si>
    <t>SUPPLY OF MOTHER BOARD FOR DELL SERVER R430</t>
  </si>
  <si>
    <t>CPL/PO/PP/123/24-25</t>
  </si>
  <si>
    <t>APPLIED ENGINEERING SERVICES</t>
  </si>
  <si>
    <t>SUPPLY OF ENERPAC MAKE HIGH PRESSURE HYDRAULIC PUMP &amp; HOSE</t>
  </si>
  <si>
    <t>CPL/PO/PP/124/24-25</t>
  </si>
  <si>
    <t>CPL/PO/PP/125/24-25</t>
  </si>
  <si>
    <t>CANON INDIA PRIVATE LIMITED</t>
  </si>
  <si>
    <t>SUPPLY OF CANON MAKE MULTIFUNCTION LASER PRINTER</t>
  </si>
  <si>
    <t>ARUMOY BHATTACHARJEE</t>
  </si>
  <si>
    <t>CPL/PO/PP/126/24-25</t>
  </si>
  <si>
    <t>ANGLO-SWISS WATCH CO.</t>
  </si>
  <si>
    <t>SUPPLY OF ESSL MAKE BIOMETRIC ATTENDANCE CUM DOOR ACCESS CONTROL SYSTEM FOR OUR 40 MW POWER PLANT AT ASANSOL</t>
  </si>
  <si>
    <t>CPL/CAP/004/24-25</t>
  </si>
  <si>
    <t>TURNSTILE GATE BASED ACCESS CONTROL SYSTEM FRONT END SOFTWARE DEVELOPMENT</t>
  </si>
  <si>
    <t>CPL/PO/PP/127/24-25</t>
  </si>
  <si>
    <t>CPL/PO/PP/128/24-25</t>
  </si>
  <si>
    <t>VIVAT TECH</t>
  </si>
  <si>
    <t>SUPPLY OF VARIOUS COMPUTER HARDWARE ITEMS FOR OUR KOLKATA HEAD OFFICE</t>
  </si>
  <si>
    <t>CPL/PO/PP/129/24-25</t>
  </si>
  <si>
    <t>KANA ELECTROMECHS</t>
  </si>
  <si>
    <t>SUPPLY OF KANA MAKE ELECTRICAL ACCESSORIES</t>
  </si>
  <si>
    <t>CPL/PO/PP/130/24-25</t>
  </si>
  <si>
    <t>CPL/PO/PP/131/24-25</t>
  </si>
  <si>
    <t>SUPPLY OF LABORATORY INSTRUMENTS</t>
  </si>
  <si>
    <t>CPL/PO/PP/132/24-25</t>
  </si>
  <si>
    <t>STEAMLINE TECHNOCRATES PRIVATE LIMITED</t>
  </si>
  <si>
    <t>SUPPLY OF PARKER MAKE GEAR PUMP</t>
  </si>
  <si>
    <t>CPL/PO/PP/133/24-25</t>
  </si>
  <si>
    <t>MUSKAN AUTO CENTRE</t>
  </si>
  <si>
    <t>SUPPLY OF BATTERY</t>
  </si>
  <si>
    <t>CPL/PO/PP/134/24-25</t>
  </si>
  <si>
    <t>CPL/PO/PP/135/24-25</t>
  </si>
  <si>
    <t>CPL/PO/PP/136/24-25</t>
  </si>
  <si>
    <t>CPL/PO/PP/137/24-25</t>
  </si>
  <si>
    <t>PAL CONSTRUCTION</t>
  </si>
  <si>
    <t>SUPPLY OF SAIL MAKE CGI SHEETS</t>
  </si>
  <si>
    <t>CPL/CAP/005/24-25</t>
  </si>
  <si>
    <t>CPL/PO/PP/138/24-25</t>
  </si>
  <si>
    <t>AMAN ELECTRONICS</t>
  </si>
  <si>
    <t>SUPPLY OF BLUESTAR MAKE SPLIT AIR CONDITIONER</t>
  </si>
  <si>
    <t>CPL/PO/PP/139/24-25</t>
  </si>
  <si>
    <t>CPL/PO/PP/140/24-25</t>
  </si>
  <si>
    <t>SUPPLY OF SPARES FOR CHARGE PUMP</t>
  </si>
  <si>
    <t>CPL/PO/PP/141/24-25</t>
  </si>
  <si>
    <t>CPL/PO/PP/142/24-25</t>
  </si>
  <si>
    <t>MACAWBER BEEKAY PVT. LTD.</t>
  </si>
  <si>
    <t>SUPPLY OF SPARES FOR ASH HANDLING PLANT</t>
  </si>
  <si>
    <t>CPL/PO/PP/143/24-25</t>
  </si>
  <si>
    <t>CPL/PO/PP/144/24-25</t>
  </si>
  <si>
    <t>SUPPLY OF LED LIGHTS AND ACCESSORIES</t>
  </si>
  <si>
    <t>CPL/PO/PP/145/24-25</t>
  </si>
  <si>
    <t>CPL/PO/PP/146/24-25</t>
  </si>
  <si>
    <t>SUPPLY OF ABB MAKE CAPACITOR SWITCHING CONTCTOR</t>
  </si>
  <si>
    <t>CPL/PO/PP/147/24-25</t>
  </si>
  <si>
    <t>REKO ELECTRONIC COMPANY</t>
  </si>
  <si>
    <t>SUPPLY OF SAMSUNG MAKE SMART LED TV</t>
  </si>
  <si>
    <t>CPL/CAP/009/24-25</t>
  </si>
  <si>
    <t>CPL/PO/PP/148/24-25</t>
  </si>
  <si>
    <t>SUPPLY OF SPARES FOR CONTROL VALVE</t>
  </si>
  <si>
    <t>CPL/PO/PP/149/24-25</t>
  </si>
  <si>
    <t>CPL/PO/PP/150/24-25</t>
  </si>
  <si>
    <t>SUPPLY OF OPTICAL FIBRE CABLE</t>
  </si>
  <si>
    <t>CPL/PO/PP/150A/24-25</t>
  </si>
  <si>
    <t>CPL/PO/PP/151/24-25</t>
  </si>
  <si>
    <t>IGP ENGINEERS PRIVATE LIMITED</t>
  </si>
  <si>
    <t>SUPPLY OF SEAL RING WITH GASKET FOR HP HEATER</t>
  </si>
  <si>
    <t>CPL/PO/PP/152/24-25</t>
  </si>
  <si>
    <t>CPL/PO/PP/153/24-25</t>
  </si>
  <si>
    <t>EMERSON AUTOMATION SOLUTIONS INTELLIGENT PLATFORMS PVT. LTD.</t>
  </si>
  <si>
    <t xml:space="preserve">SUPPLY, INSTALLATION AND COMMISSIONING OF NECESSARY HARDWARE &amp; SOFTWARE FOR UP GRADATION OF HCSD PLC SYSTEM OS AND PC </t>
  </si>
  <si>
    <t>CPL/CAP/007/24-25</t>
  </si>
  <si>
    <t>CPL/PO/PP/154/24-25</t>
  </si>
  <si>
    <t>SUPPLY OF ELECTRICAL CONSUMABLES</t>
  </si>
  <si>
    <t>CPL/PO/PP/155/24-25</t>
  </si>
  <si>
    <t>CPL/CAP/010/24-25</t>
  </si>
  <si>
    <r>
      <t>PROCUREMENT OF INS. SPARES &amp; OTHER PM 3</t>
    </r>
    <r>
      <rPr>
        <b/>
        <vertAlign val="superscript"/>
        <sz val="10"/>
        <color indexed="53"/>
        <rFont val="Tahoma"/>
        <family val="2"/>
      </rPr>
      <t>rd</t>
    </r>
    <r>
      <rPr>
        <b/>
        <sz val="10"/>
        <color indexed="53"/>
        <rFont val="Tahoma"/>
        <family val="2"/>
      </rPr>
      <t xml:space="preserve"> </t>
    </r>
    <r>
      <rPr>
        <b/>
        <sz val="10"/>
        <color indexed="53"/>
        <rFont val="Tahoma"/>
        <family val="2"/>
      </rPr>
      <t>QTR.</t>
    </r>
  </si>
  <si>
    <t>CPL/PO/PP/156/24-25</t>
  </si>
  <si>
    <t>UTECH</t>
  </si>
  <si>
    <t>SUPPLY OF SHAFT INSULATORS FOR ESP</t>
  </si>
  <si>
    <t>CPL/PO/PP/157/24-25</t>
  </si>
  <si>
    <t>SOUTHERN TRANSDUCERS</t>
  </si>
  <si>
    <t>SUPPLY OF DC VOLTAGE TRANSDUCER</t>
  </si>
  <si>
    <t>CPL/PO/PP/158/24-25</t>
  </si>
  <si>
    <t>CPL/PO/PP/159/24-25</t>
  </si>
  <si>
    <t>N K ENTERPRISE</t>
  </si>
  <si>
    <t>SUPPLY OF HINDUSTAN ELECTRIC MAKE AC BLOWER MOTOR</t>
  </si>
  <si>
    <t>WSY</t>
  </si>
  <si>
    <t>CPL/PO/PP/160/24-25</t>
  </si>
  <si>
    <t>SUPPLY OF VIBRATION SENSOR ALONGWITH SUITABLE CONNECTOR &amp; ADAPTOR</t>
  </si>
  <si>
    <t>CPL/PO/PP/161/24-25</t>
  </si>
  <si>
    <t>SUPPLY OF ASSEMBLED CPU FOR OUR 40 MW POWER PLANT AT ASANSOL</t>
  </si>
  <si>
    <t>CPL/PO/PP/162/24-25</t>
  </si>
  <si>
    <t>KHOSLA ELECTRONICS PVT. LTD.</t>
  </si>
  <si>
    <t>SUPPLY OF DAIKIN MAKE 1 T INVERTER TYPE SPLIT AIR CONDITIONER</t>
  </si>
  <si>
    <t>CPL/CAP/011/24-25</t>
  </si>
  <si>
    <r>
      <t>PROCUREMENT OF OFFICE EQUIPMENT HO 2</t>
    </r>
    <r>
      <rPr>
        <b/>
        <vertAlign val="superscript"/>
        <sz val="10"/>
        <color indexed="53"/>
        <rFont val="Tahoma"/>
        <family val="2"/>
      </rPr>
      <t>nd</t>
    </r>
    <r>
      <rPr>
        <b/>
        <sz val="10"/>
        <color indexed="53"/>
        <rFont val="Tahoma"/>
        <family val="2"/>
      </rPr>
      <t xml:space="preserve"> HALF</t>
    </r>
  </si>
  <si>
    <t>HARD FURNISHING PM</t>
  </si>
  <si>
    <t>CPL/PO/PP/163/24-25</t>
  </si>
  <si>
    <t>PRADEEP SALES &amp; SERVICE PVT. LTD.</t>
  </si>
  <si>
    <t>SUPPLY OF REMOTE TAP POSITION INDICATOR</t>
  </si>
  <si>
    <t>CPL/PO/PP/164/24-25</t>
  </si>
  <si>
    <t>CPL/CAP/012/24-25</t>
  </si>
  <si>
    <r>
      <t>PROCUREMENT OF OFFICE EQUIPMENT SITE 2</t>
    </r>
    <r>
      <rPr>
        <b/>
        <vertAlign val="superscript"/>
        <sz val="10"/>
        <color indexed="53"/>
        <rFont val="Tahoma"/>
        <family val="2"/>
      </rPr>
      <t>nd</t>
    </r>
    <r>
      <rPr>
        <b/>
        <sz val="10"/>
        <color indexed="53"/>
        <rFont val="Tahoma"/>
        <family val="2"/>
      </rPr>
      <t xml:space="preserve"> HALF</t>
    </r>
  </si>
  <si>
    <t>HARD FURNISHING AKD</t>
  </si>
  <si>
    <t>CPL/PO/PP/165/24-25</t>
  </si>
  <si>
    <t>SUPPLY OF VARIOUS IT HARDWARE ITEMS</t>
  </si>
  <si>
    <t>CPL/PO/PP/166/24-25</t>
  </si>
  <si>
    <t>ASHISH SANITARY ENTERPRISES</t>
  </si>
  <si>
    <t>SUPPLY OF SINTEX MAKE PVC WATER TANK</t>
  </si>
  <si>
    <t>CPL/PO/PP/167/24-25</t>
  </si>
  <si>
    <t>KERALA STATE ELECTRONICS DEVELOPMENT CORPORATION LTD.</t>
  </si>
  <si>
    <t>SUPPLY OF KELTRON MAKE POSTION FEED BACK TRANSMITTER</t>
  </si>
  <si>
    <t>CPL/PO/PP/168/24-25</t>
  </si>
  <si>
    <t>MAYFAIR VINCOM PRIVATE LIMITED</t>
  </si>
  <si>
    <t>SUPPLY OF PLUNGER TYPE VALVE FOR DE SYSTEM</t>
  </si>
  <si>
    <t>CPL/PO/PP/169/24-25</t>
  </si>
  <si>
    <t>SUPPLY OF SAIL MAKE CGI SHEETS, GLASS REINFORCED FIBRE SHEET &amp; PRECOATED SHEET</t>
  </si>
  <si>
    <t>CPL/PO/PP/170/24-25</t>
  </si>
  <si>
    <t>GLOBAL SERVICES</t>
  </si>
  <si>
    <t>SUPPLY OF STP MAKE ROOF WATER PROOFING SHEET &amp; BITUMEN</t>
  </si>
  <si>
    <t>CPL/PO/PP/171/24-25</t>
  </si>
  <si>
    <t>NAVIN ENGINEERING</t>
  </si>
  <si>
    <t>SUPPLY OF PIN FOR FLIP FLOP</t>
  </si>
  <si>
    <t>CPL/PO/PP/172/24-25</t>
  </si>
  <si>
    <t>SUPPLY OF ALCONLINK MAKE BULLET CAMERA</t>
  </si>
  <si>
    <t>CPL/PO/PP/173/24-25</t>
  </si>
  <si>
    <t>TECHNOTALENT ENGINEERING INDIA PVT. LTD.</t>
  </si>
  <si>
    <t>SUPPLY OF ROSTA OSCILLATING MOUNTING</t>
  </si>
  <si>
    <t>CPL/PO/PP/174/24-25</t>
  </si>
  <si>
    <t>HYDROTECH ENGINEERS</t>
  </si>
  <si>
    <t>SUPPLY OF HEAD SHAFT FOR WPIL PUMP</t>
  </si>
  <si>
    <t>CPL/PO/PP/175/24-25</t>
  </si>
  <si>
    <t>SAGA ENGINEERING ENTERPRISE</t>
  </si>
  <si>
    <t>SUPPLY OF SPARES FOR ROTO PUMP</t>
  </si>
  <si>
    <t>CPL/PO/PP/176/24-25</t>
  </si>
  <si>
    <t>SUPPLY OF SPARES FOR WILO M&amp;P PUMP</t>
  </si>
  <si>
    <t>CPL/PO/PP/177/24-25</t>
  </si>
  <si>
    <t>VICOM SECURITY PVT. LTD.</t>
  </si>
  <si>
    <t>SUPPLY OF VICOM MAKE IP CAMERA</t>
  </si>
  <si>
    <t>CPL/PO/PP/178/24-25</t>
  </si>
  <si>
    <t>CPL/PO/PP/179/24-25</t>
  </si>
  <si>
    <t>SUPPLY OF CG MAKE 18 W LED LIGHT FOR KOLKATA OFFICE</t>
  </si>
  <si>
    <t>OFFICE EXP</t>
  </si>
  <si>
    <t>CPL/PO/PP/180/24-25</t>
  </si>
  <si>
    <t>SUPPLY OF SPARES FOR SCRAPPER CHAIN CONVEYOR</t>
  </si>
  <si>
    <t>CPL/PO/PP/181/24-25</t>
  </si>
  <si>
    <t>SUPPLY OF VARIOUS COMPUTER HARDWARE ITEMS</t>
  </si>
  <si>
    <t>CPL/PO/PP/182/24-25</t>
  </si>
  <si>
    <t>SUPPLY OF HP MAKE RACK SERVER</t>
  </si>
  <si>
    <t>CPL/PO/PP/183/24-25</t>
  </si>
  <si>
    <t>ACD MACHINE CONTROL CO. (P) LTD.</t>
  </si>
  <si>
    <t>SUPPLY OF VIBRATION SWITCH FOR CT FAN GEAR BOX</t>
  </si>
  <si>
    <t>Signed by DKD. KB out of town.</t>
  </si>
  <si>
    <t>CPL/PO/PP/184/24-25</t>
  </si>
  <si>
    <t>FLOWSERVE SANMAR PRIVATE LIMITED</t>
  </si>
  <si>
    <t>SUPPLY OF SPARES FOR MECHANICAL SEAL OF BFP</t>
  </si>
  <si>
    <t>CPL/PO/PP/185/24-25</t>
  </si>
  <si>
    <t>TORQUE LABS ENGINEERING</t>
  </si>
  <si>
    <t>SUPPLY OF EMERSON MAKE DIFFERENTIAL PRESSURE TRANSMITTER</t>
  </si>
  <si>
    <t>CPL/PO/PP/186/24-25</t>
  </si>
  <si>
    <t>CPL/PO/PP/187/24-25</t>
  </si>
  <si>
    <t>J. P. ENTERPRISES</t>
  </si>
  <si>
    <t>NEW DELHI</t>
  </si>
  <si>
    <t>SUPPLY OF BATTERY AND ANTEENA FOR MOTOROLA RADIO</t>
  </si>
  <si>
    <t>CPL/PO/PP/188/24-25</t>
  </si>
  <si>
    <t>CPL/PO/PP/189/24-25</t>
  </si>
  <si>
    <t>ASSOCIATED ENTERPRISES</t>
  </si>
  <si>
    <t>SUPPLY OF SHAVO MAKE PRESSURE GAUGE FOR FRL UNIT</t>
  </si>
  <si>
    <t>CPL/PO/PP/190/24-25</t>
  </si>
  <si>
    <t>SUPPLY OF VIBRATION TRANSMITTER, ISOLATOR AND SENSOR</t>
  </si>
  <si>
    <t>CPL/PO/PP/191/24-25</t>
  </si>
  <si>
    <t>SHREE HANUMAN ELECTRIC &amp; TRADING CO.</t>
  </si>
  <si>
    <t>SUPPLY OF L&amp;T MAKE MCB</t>
  </si>
  <si>
    <t>CPL/PO/PP/192/24-25</t>
  </si>
  <si>
    <t>SUPPLY OF SPARES FOR DOME VALVE</t>
  </si>
  <si>
    <t>CPL/PO/PP/193/24-25</t>
  </si>
  <si>
    <t>SUPPLY OF DIFFERENT TYPES OF SEALKITS</t>
  </si>
  <si>
    <t>CPL/PO/PP/194/24-25</t>
  </si>
  <si>
    <t>CPL/PO/PP/195/24-25</t>
  </si>
  <si>
    <t>CPL/PO/PP/196/24-25</t>
  </si>
  <si>
    <t>CPL/PO/PP/196A/24-25</t>
  </si>
  <si>
    <t>CPL/PO/PP/197/24-25</t>
  </si>
  <si>
    <t>PREMIUM TRANSMISSION LIMITED</t>
  </si>
  <si>
    <t>SUPPLY OF SPARES FOR PREMIUM MAKE GEAR BOX</t>
  </si>
  <si>
    <t>CPL/PO/PP/198/24-25</t>
  </si>
  <si>
    <t>SUTCO BEARINGS INDIA PVT. LTD.</t>
  </si>
  <si>
    <t>SUPPLY OF SKF MAKE BEARINGS AND ACCESSORIES</t>
  </si>
  <si>
    <t>CPL/PO/PP/199/24-25</t>
  </si>
  <si>
    <t>CPL/PO/PP/200/24-25</t>
  </si>
  <si>
    <t xml:space="preserve">SUPPLY OF SAMSUNG MAKE SMART LED TV </t>
  </si>
  <si>
    <t>CPL/PO/PP/201/24-25</t>
  </si>
  <si>
    <t>SUPPLY OF CHAIN CONNECTOR WITH DISTANCE PIECE</t>
  </si>
  <si>
    <t>CPL/PO/PP/202/24-25</t>
  </si>
  <si>
    <t>CPL/PO/PP/203/24-25</t>
  </si>
  <si>
    <t>CPL/PO/PP/204/24-25</t>
  </si>
  <si>
    <t>SUPPLY OF REGULAR HARDWARE ITEMS</t>
  </si>
  <si>
    <t>CPL/PO/PP/205/24-25</t>
  </si>
  <si>
    <t>CPL/PO/PP/206/24-25</t>
  </si>
  <si>
    <t>SUPPLY OF CG MAKE LUMINARY ITEMS</t>
  </si>
  <si>
    <t>CPL/PO/PP/207/24-25</t>
  </si>
  <si>
    <t>USHA COMPRESSORS PVT. LTD.</t>
  </si>
  <si>
    <t>SUPPLY OF USHA MAKE TWIN LOBE ENERGY EFFICIENT BLOWER</t>
  </si>
  <si>
    <t>CPL/PO/PP/208/24-25</t>
  </si>
  <si>
    <t>SUPPLY OF FIRE EXTINGUISHER CONSUMABLES</t>
  </si>
  <si>
    <t>CPL/PO/PP/209/24-25</t>
  </si>
  <si>
    <t>SUPPLY OF TRANSPARENT ACRYLIC SHEET</t>
  </si>
  <si>
    <t>CPL/PO/PP/210/24-25</t>
  </si>
  <si>
    <t>CASTWEL INDUSTRIES PVT. LTD.</t>
  </si>
  <si>
    <t>SUPPLY OF PHOSCAST REFRATORY WITH LIQUID BINDER</t>
  </si>
  <si>
    <t>CPL/PO/PP/211/24-25</t>
  </si>
  <si>
    <t>ROY CHEMICALS</t>
  </si>
  <si>
    <t>SUPPLY OF NON SELECTIVE CONTACT HERBICIDE</t>
  </si>
  <si>
    <t>CPL/PO/PP/212/24-25</t>
  </si>
  <si>
    <t>C&amp;S ELECTRIC LIMITED</t>
  </si>
  <si>
    <t>UTTARAKHAND</t>
  </si>
  <si>
    <t>SUPPLY OF SPARES FOR GENERATOR BUS BAR, GENERATOR BUS DUCT &amp; PTSP-NGT CUBICLE</t>
  </si>
  <si>
    <t>CPL/PO/PP/213/24-25</t>
  </si>
  <si>
    <t>POWER SYSTEMS</t>
  </si>
  <si>
    <t>SUPPLY OF CAPACITOR, REACTOR &amp; CHANGEOVER SWITCH</t>
  </si>
  <si>
    <t>CPL/PO/PP/214/24-25</t>
  </si>
  <si>
    <t>SUPPLY OF MALE FEMALE SOCKET FOR TORNADO WELDING MACHINE</t>
  </si>
  <si>
    <t>CPL/PO/PP/215/24-25</t>
  </si>
  <si>
    <t>CPL/PO/PP/216/24-25</t>
  </si>
  <si>
    <t>CPL/PO/PP/217/24-25</t>
  </si>
  <si>
    <t>SUPPLY OF SPARES FOR IR MAKE AIR COMPRESSOR</t>
  </si>
  <si>
    <t>CPL/PO/PP/218/24-25</t>
  </si>
  <si>
    <t>FLOWMORE LIMITED</t>
  </si>
  <si>
    <t>SUPPLY OF SPARES FOR CW PUMP</t>
  </si>
  <si>
    <t>CPL/PO/PP/219/24-25</t>
  </si>
  <si>
    <t>CPL/PO/PP/220/24-25</t>
  </si>
  <si>
    <t>CPL/PO/PP/221/24-25</t>
  </si>
  <si>
    <t>SUPPLY OF HEATING ASSEMBLY OF ELECTRIC SIGREE</t>
  </si>
  <si>
    <t>CPL/PO/PP/222/24-25</t>
  </si>
  <si>
    <t>SUPPLY OF DIFFERENT SIZES OF ACI BENDS</t>
  </si>
  <si>
    <t>CPL/PO/PP/223/24-25</t>
  </si>
  <si>
    <t>CPL/PO/PP/224/24-25</t>
  </si>
  <si>
    <t>CPL/PO/PP/225/24-25</t>
  </si>
  <si>
    <t>ADOR POWERTRON LIMITED</t>
  </si>
  <si>
    <t>SUPPLY OF PRECICON-R CONTROLLER FOR ESP PANEL</t>
  </si>
  <si>
    <t>CPL/PO/PP/226/24-25</t>
  </si>
  <si>
    <t>SUPPLY OF CG MAKE 250 W LED FLOOD LIGHT SET</t>
  </si>
  <si>
    <t>CPL/CAP/014/24-25</t>
  </si>
  <si>
    <t>CPL/PO/PP/227/24-25</t>
  </si>
  <si>
    <t>CPL/PO/PP/228/24-25</t>
  </si>
  <si>
    <t>CPL/PO/PP/229/24-25</t>
  </si>
  <si>
    <t>CPL/PO/PP/230/24-25</t>
  </si>
  <si>
    <t>SUPPLY OF GEAR BOX FOR BONFIGLIOLI PUMP</t>
  </si>
  <si>
    <t>CPL/PO/PP/231/24-25</t>
  </si>
  <si>
    <t>SHREE MANMOHAN CORPORATION</t>
  </si>
  <si>
    <t>SUPPLY OF PHILIPS MAKE LED TUBE LIGHT</t>
  </si>
  <si>
    <t>CPL/PO/PP/232/24-25</t>
  </si>
  <si>
    <t>SUPPLY OF DIAPHRAGM OF DOSING PUMPS</t>
  </si>
  <si>
    <t>CPL/PO/PP/233/24-25</t>
  </si>
  <si>
    <t>CPL/PO/PP/234/24-25</t>
  </si>
  <si>
    <t>SUPPLY OF HAVELS MAKE EXHAUST FAN</t>
  </si>
  <si>
    <t>CPL/PO/PP/235/24-25</t>
  </si>
  <si>
    <t>AKSHAY ELECTROTECH PVT. LTD.</t>
  </si>
  <si>
    <t>SUPPLY OF AE MAKE TRANSDUCERS</t>
  </si>
  <si>
    <t>CPL/PO/PP/236/24-25</t>
  </si>
  <si>
    <t>CORROSION PROTECTION PVT. LTD.</t>
  </si>
  <si>
    <t>ODISHA</t>
  </si>
  <si>
    <t>SUPPLY OF SPARES FOR CRUSHER</t>
  </si>
  <si>
    <t>CPL/PO/PP/237/24-25</t>
  </si>
  <si>
    <t>SUPPLY OF HP MAKE LAPTOP</t>
  </si>
  <si>
    <t>CPL/PO/PP/238/24-25</t>
  </si>
  <si>
    <t>CPL/PO/PP/239/24-25</t>
  </si>
  <si>
    <t>SARADA TRADERS</t>
  </si>
  <si>
    <t>SUPPLY OF HYDROCHLORIC ACID</t>
  </si>
  <si>
    <t>CPL/PO/PP/240/24-25</t>
  </si>
  <si>
    <t>CPL/PO/PP/241/24-25</t>
  </si>
  <si>
    <t>CPL/PO/PP/242/24-25</t>
  </si>
  <si>
    <t>UNIQUE TRANSMISSION (INDIA) PVT. LTD.</t>
  </si>
  <si>
    <t>SUPPLY OF COOLING TOWER SPARES</t>
  </si>
  <si>
    <t>CPL/PO/PP/243/24-25</t>
  </si>
  <si>
    <t>CPL/PO/PP/244/24-25</t>
  </si>
  <si>
    <t>SUPPLY OF HOSE CONNECTION ADAPTER FOR EPIROCK BREAKER</t>
  </si>
  <si>
    <t>CPL/PO/PP/245/24-25</t>
  </si>
  <si>
    <t>SUPPLY OF HAVELS MAKE LED LIGHT</t>
  </si>
  <si>
    <t>CPL/PO/PP/246/24-25</t>
  </si>
  <si>
    <t>CPL/PO/PP/247/24-25</t>
  </si>
  <si>
    <t>VOLTAS LIMITED</t>
  </si>
  <si>
    <t>SUPPLY OF DISPLAY PACK FOR VOLTAS MAKE PACKAGED AIR CONDITIONER</t>
  </si>
  <si>
    <t>CPL/PO/PP/248/24-25</t>
  </si>
  <si>
    <t>SUNRISE INTERNATIONAL</t>
  </si>
  <si>
    <t>SUPPLY OF NTN MAKE BEARING</t>
  </si>
  <si>
    <t>CPL/PO/PP/249/24-25</t>
  </si>
  <si>
    <t>SUPPLY OF M30 X 150 NIB BOLT, NUT &amp; WASHER</t>
  </si>
  <si>
    <t>CPL/PO/PP/250/24-25</t>
  </si>
  <si>
    <t>SUPPLY OF SCHRADER MAKE PNEUMATIC CYLINDER</t>
  </si>
  <si>
    <t>CPL/PO/PP/251/24-25</t>
  </si>
  <si>
    <t>SUPPLY OF ZERO SPEED SWITCH SENSOR PROBE AND CONTROLLER</t>
  </si>
  <si>
    <t>CPL/PO/PP/252/24-25</t>
  </si>
  <si>
    <t>DRYTECH ENGINEERS</t>
  </si>
  <si>
    <t>SUPPLY OF ELECTRONIC AUTO DRAIN VALVE</t>
  </si>
  <si>
    <t>CPL/PO/PP/253/24-25</t>
  </si>
  <si>
    <t>AUSTEN HADFIELD MANUFACTURING CO. PVT. LTD.</t>
  </si>
  <si>
    <t>SUPPLY OF IMPACTOR CRUSHER BLADE</t>
  </si>
  <si>
    <t>CPL/PO/PP/254/24-25</t>
  </si>
  <si>
    <t>CPL/PO/PP/254A/24-25</t>
  </si>
  <si>
    <t>CPL/PO/PP/255/24-25</t>
  </si>
  <si>
    <t>DEIFIK AUTOMATIONS PVT. LTD.</t>
  </si>
  <si>
    <t>SUPPLY OF ROTEX MAKE PILOT OPERATED SOLENOID VALVE</t>
  </si>
  <si>
    <t>CPL/PO/PP/256/24-25</t>
  </si>
  <si>
    <t>CPL/PO/PP/257/24-25</t>
  </si>
  <si>
    <t>CPL/PO/PP/258/24-25</t>
  </si>
  <si>
    <t>SUPPLY OF CARBORANDUM MAKE GRINDING WHEEL</t>
  </si>
  <si>
    <t>CPL/PO/PP/259/24-25</t>
  </si>
  <si>
    <t>CPL/PO/PP/260/24-25</t>
  </si>
  <si>
    <t>CPL/PO/PP/261/24-25</t>
  </si>
  <si>
    <t>CPL/PO/PP/262/24-25</t>
  </si>
  <si>
    <t>CPL/PO/PP/263/24-25</t>
  </si>
  <si>
    <t>CPL/PO/PP/264/24-25</t>
  </si>
  <si>
    <t>J S PVT. LTD.</t>
  </si>
  <si>
    <t>SUPPLY OF MESSER MAKE GAS CUTTING NOZZLE</t>
  </si>
  <si>
    <t>CPL/PO/PP/265/24-25</t>
  </si>
  <si>
    <t>CONTINENTAL HARDWARE MART</t>
  </si>
  <si>
    <t>SUPPLY OF BDK MAKE DIAPHRAGM VALVES</t>
  </si>
  <si>
    <t>CPL/PO/PP/266/24-25</t>
  </si>
  <si>
    <t>CPL/PO/PP/267/24-25</t>
  </si>
  <si>
    <t>SUPPLY OF BOSCH MAKE ROTARY DRILL MACHINE</t>
  </si>
  <si>
    <t>3C</t>
  </si>
  <si>
    <t>CPL/PO/PP/268/24-25</t>
  </si>
  <si>
    <t>R &amp; S SOLUTIONS</t>
  </si>
  <si>
    <t>SUPPLY OF HP MAKE CARTRIDGE</t>
  </si>
  <si>
    <t>CPL/PO/PP/269/24-25</t>
  </si>
  <si>
    <t>CPL/PO/PP/270/24-25</t>
  </si>
  <si>
    <t>CPL/PO/PP/271/24-25</t>
  </si>
  <si>
    <t>CPL/PO/PP/272/24-25</t>
  </si>
  <si>
    <t>EASTERN TRADE CENTRE</t>
  </si>
  <si>
    <t>SUPPLY OF SIEMENS MAKE ELECTRICAL ACCESSORIES</t>
  </si>
  <si>
    <t>CPL/PO/PP/273/24-25</t>
  </si>
  <si>
    <t>CPL/PO/PP/274/24-25</t>
  </si>
  <si>
    <t>INDUSTRIAL STORES &amp; HARDWARE SUPPLIERS</t>
  </si>
  <si>
    <t>CPL/PO/PP/275/24-25</t>
  </si>
  <si>
    <t>CPL/PO/PP/276/24-25</t>
  </si>
  <si>
    <t>EXIDE INDUSTRIES LIMITED</t>
  </si>
  <si>
    <t>SUPPLY OF EXIDE MAKE TUBULAR TYPE LEAD ACID BATTERY FOR OUR 40 MW POWER PLANT AT ASANSOL</t>
  </si>
  <si>
    <t>CPL/CAP/015/24-25</t>
  </si>
  <si>
    <t>CPL/PO/PP/277/24-25</t>
  </si>
  <si>
    <t>CPL/PO/PP/278/24-25</t>
  </si>
  <si>
    <t>SUPPLY OF FLOOR CLEANING CHEMICAL</t>
  </si>
  <si>
    <t>CPL/PO/PP/279/24-25</t>
  </si>
  <si>
    <t>SONATA METALS INDUSTRIES</t>
  </si>
  <si>
    <t>SUPPLY OF ECONOMISER COIL STRAIGHT TUBE AND SS PLATE</t>
  </si>
  <si>
    <t>CPL/PO/PP/279A/24-25</t>
  </si>
  <si>
    <t>CPL/CAP/017/24-25</t>
  </si>
  <si>
    <t>4D, 2A1</t>
  </si>
  <si>
    <r>
      <t>PROCUREMENT OF INS. SPARES &amp; OTHER PM 4</t>
    </r>
    <r>
      <rPr>
        <b/>
        <vertAlign val="superscript"/>
        <sz val="10"/>
        <color indexed="53"/>
        <rFont val="Tahoma"/>
        <family val="2"/>
      </rPr>
      <t>th</t>
    </r>
    <r>
      <rPr>
        <b/>
        <sz val="10"/>
        <color indexed="53"/>
        <rFont val="Tahoma"/>
        <family val="2"/>
      </rPr>
      <t xml:space="preserve"> </t>
    </r>
    <r>
      <rPr>
        <b/>
        <sz val="10"/>
        <color indexed="53"/>
        <rFont val="Tahoma"/>
        <family val="2"/>
      </rPr>
      <t>QTR.</t>
    </r>
  </si>
  <si>
    <t>CPL/PO/PP/280/24-25</t>
  </si>
  <si>
    <t>SUPPLY OF TAPARIA MAKE HANDLE FOR BOX SPANNER SET</t>
  </si>
  <si>
    <t>CPL/PO/PP/281/24-25</t>
  </si>
  <si>
    <t>CPL/PO/PP/282/24-25</t>
  </si>
  <si>
    <t>RANCHI REFRACTORIES (INDIA) PVT. LTD.</t>
  </si>
  <si>
    <t>CPL/PO/PP/282A/24-25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</si>
</sst>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0">
    <font>
      <sz val="10"/>
      <name val="Arial"/>
      <family val="2"/>
    </font>
    <font>
      <sz val="10"/>
      <name val="Tahoma"/>
      <family val="2"/>
    </font>
    <font>
      <b/>
      <sz val="16"/>
      <color indexed="48"/>
      <name val="Felix Titling"/>
      <family val="5"/>
    </font>
    <font>
      <b/>
      <sz val="14"/>
      <color indexed="48"/>
      <name val="Felix Titling"/>
      <family val="5"/>
    </font>
    <font>
      <b/>
      <sz val="12"/>
      <name val="Verdana"/>
      <family val="2"/>
    </font>
    <font>
      <sz val="10"/>
      <name val="Felix Titling"/>
      <family val="5"/>
    </font>
    <font>
      <b/>
      <sz val="10"/>
      <name val="Verdana"/>
      <family val="2"/>
    </font>
    <font>
      <b/>
      <sz val="10"/>
      <color rgb="FF00B0F0"/>
      <name val="Tahoma"/>
      <family val="2"/>
    </font>
    <font>
      <b/>
      <sz val="10"/>
      <color rgb="FFFF0000"/>
      <name val="Tahoma"/>
      <family val="2"/>
    </font>
    <font>
      <b/>
      <sz val="10"/>
      <color rgb="FF00B050"/>
      <name val="Tahoma"/>
      <family val="2"/>
    </font>
    <font>
      <b/>
      <sz val="10"/>
      <color theme="9" tint="-0.249977111117893"/>
      <name val="Tahoma"/>
      <family val="2"/>
    </font>
    <font>
      <b/>
      <sz val="10"/>
      <name val="Tahoma"/>
      <family val="2"/>
    </font>
    <font>
      <b/>
      <vertAlign val="superscript"/>
      <sz val="10"/>
      <color indexed="53"/>
      <name val="Tahoma"/>
      <family val="2"/>
    </font>
    <font>
      <b/>
      <sz val="10"/>
      <color indexed="53"/>
      <name val="Tahoma"/>
      <family val="2"/>
    </font>
    <font>
      <b/>
      <sz val="10"/>
      <color rgb="FF7030A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b/>
      <sz val="10"/>
      <color rgb="FF0070C0"/>
      <name val="Tahoma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right" vertic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/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0" xfId="0" applyFont="1" applyFill="1"/>
    <xf numFmtId="0" fontId="10" fillId="0" borderId="2" xfId="0" applyFont="1" applyBorder="1" applyAlignment="1">
      <alignment horizontal="center" vertical="center"/>
    </xf>
    <xf numFmtId="2" fontId="1" fillId="0" borderId="2" xfId="0" applyNumberFormat="1" applyFont="1" applyFill="1" applyBorder="1"/>
    <xf numFmtId="0" fontId="1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" fillId="0" borderId="2" xfId="0" applyNumberFormat="1" applyFont="1" applyFill="1" applyBorder="1" applyAlignment="1">
      <alignment horizontal="right"/>
    </xf>
    <xf numFmtId="0" fontId="1" fillId="0" borderId="2" xfId="0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/>
    </xf>
    <xf numFmtId="2" fontId="16" fillId="0" borderId="2" xfId="0" applyNumberFormat="1" applyFont="1" applyFill="1" applyBorder="1" applyAlignment="1">
      <alignment vertical="center"/>
    </xf>
    <xf numFmtId="2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/>
    </xf>
    <xf numFmtId="0" fontId="16" fillId="0" borderId="2" xfId="0" applyFont="1" applyFill="1" applyBorder="1"/>
    <xf numFmtId="0" fontId="15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vertical="center"/>
    </xf>
    <xf numFmtId="2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8" fillId="4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2" fontId="1" fillId="4" borderId="2" xfId="0" applyNumberFormat="1" applyFont="1" applyFill="1" applyBorder="1"/>
    <xf numFmtId="0" fontId="7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10" fillId="0" borderId="2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7" fillId="0" borderId="0" xfId="0" applyFont="1" applyFill="1"/>
    <xf numFmtId="2" fontId="1" fillId="0" borderId="2" xfId="0" applyNumberFormat="1" applyFont="1" applyFill="1" applyBorder="1" applyAlignment="1">
      <alignment horizontal="center"/>
    </xf>
    <xf numFmtId="0" fontId="0" fillId="0" borderId="0" xfId="0" applyFill="1"/>
    <xf numFmtId="0" fontId="19" fillId="0" borderId="2" xfId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2" fontId="1" fillId="0" borderId="3" xfId="0" applyNumberFormat="1" applyFont="1" applyFill="1" applyBorder="1"/>
    <xf numFmtId="0" fontId="1" fillId="0" borderId="3" xfId="0" applyFont="1" applyFill="1" applyBorder="1" applyAlignment="1">
      <alignment horizontal="center"/>
    </xf>
    <xf numFmtId="0" fontId="0" fillId="0" borderId="2" xfId="0" applyBorder="1"/>
    <xf numFmtId="0" fontId="19" fillId="0" borderId="0" xfId="1" applyFont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PDF%20ORDER%20COPIES%20CPL\POWER%20PLANT\Power%20Plant%20e-copy%20po%20folder%2024-25\SARADA%20TRADERS%20-%20CPL%20PO%20PP%20239%2024-25.pdf" TargetMode="External"/><Relationship Id="rId21" Type="http://schemas.openxmlformats.org/officeDocument/2006/relationships/hyperlink" Target="PDF%20ORDER%20COPIES%20CPL\POWER%20PLANT\Power%20Plant%20e-copy%20po%20folder%2024-25\SSK%20ELECTRICALS%20EQUIPMENT%20LLP%20-%20CPL%20PO%20PP%20227%2024-25.pdf" TargetMode="External"/><Relationship Id="rId42" Type="http://schemas.openxmlformats.org/officeDocument/2006/relationships/hyperlink" Target="PDF%20ORDER%20COPIES%20CPL\POWER%20PLANT\Power%20Plant%20e-copy%20po%20folder%2024-25\TARAMA%20TRADING%20COMPANY%20-%20CPL%20PO%20PP%20254%2024-25.pdf" TargetMode="External"/><Relationship Id="rId47" Type="http://schemas.openxmlformats.org/officeDocument/2006/relationships/hyperlink" Target="PDF%20ORDER%20COPIES%20CPL\POWER%20PLANT\Power%20Plant%20e-copy%20po%20folder%2024-25\TARAMA%20TRADING%20COMPANY%20-%20CPL%20PO%20PP%20260%2024-25.pdf" TargetMode="External"/><Relationship Id="rId63" Type="http://schemas.openxmlformats.org/officeDocument/2006/relationships/hyperlink" Target="PDF%20ORDER%20COPIES%20CPL\POWER%20PLANT\Power%20Plant%20e-copy%20po%20folder%2024-25\YASH%20ENTERPRISE%20-%20CPL%20PO%20PP%20259%2024-25.pdf" TargetMode="External"/><Relationship Id="rId68" Type="http://schemas.openxmlformats.org/officeDocument/2006/relationships/hyperlink" Target="PDF%20ORDER%20COPIES%20CPL\POWER%20PLANT\Power%20Plant%20e-copy%20po%20folder%2024-25\RANCHI%20REFRACTORIES%20INDIA%20PVT.%20LTD.%20-%20CPL%20PO%20PP%20282%2024-25.pdf" TargetMode="External"/><Relationship Id="rId7" Type="http://schemas.openxmlformats.org/officeDocument/2006/relationships/hyperlink" Target="PDF%20ORDER%20COPIES%20CPL\POWER%20PLANT\Power%20Plant%20e-copy%20po%20folder%2024-25\YASH%20ENTERPRISE%20-%20CPL%20PO%20PP%20216%2024-25.pdf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PDF%20ORDER%20COPIES%20CPL\POWER%20PLANT\Power%20Plant%20e-copy%20po%20folder%2024-25\DHARA%20ENGINEERING%20WORKS%20-%20CPL%20PO%20PP%20222%2024-25.pdf" TargetMode="External"/><Relationship Id="rId16" Type="http://schemas.openxmlformats.org/officeDocument/2006/relationships/hyperlink" Target="PDF%20ORDER%20COPIES%20CPL\POWER%20PLANT\Power%20Plant%20e-copy%20po%20folder%2024-25\NARAYAN%20TRADING%20CO.%20-%20CPL%20PO%20PP%20234%2024-25.pdf" TargetMode="External"/><Relationship Id="rId29" Type="http://schemas.openxmlformats.org/officeDocument/2006/relationships/hyperlink" Target="PDF%20ORDER%20COPIES%20CPL\POWER%20PLANT\Power%20Plant%20e-copy%20po%20folder%2024-25\UNIQUE%20TRANSMISSION%20INDIA%20PVT.%20LTD.%20-%20CPL%20PO%20PP%20242%2024-25.pdf" TargetMode="External"/><Relationship Id="rId11" Type="http://schemas.openxmlformats.org/officeDocument/2006/relationships/hyperlink" Target="PDF%20ORDER%20COPIES%20CPL\POWER%20PLANT\Power%20Plant%20e-copy%20po%20folder%2024-25\VYAS%20&amp;%20CO.%20-%20CPL%20PO%20PP%20220%2024-25.pdf" TargetMode="External"/><Relationship Id="rId24" Type="http://schemas.openxmlformats.org/officeDocument/2006/relationships/hyperlink" Target="PDF%20ORDER%20COPIES%20CPL\POWER%20PLANT\Power%20Plant%20e-copy%20po%20folder%2024-25\COMPUTER%20TECHNOLOGY%20SERVICES%20-%20CPL%20PO%20PP%20237%2024-25.pdf" TargetMode="External"/><Relationship Id="rId32" Type="http://schemas.openxmlformats.org/officeDocument/2006/relationships/hyperlink" Target="PDF%20ORDER%20COPIES%20CPL\POWER%20PLANT\Power%20Plant%20e-copy%20po%20folder%2024-25\YASH%20ENTERPRISE%20-%20CPL%20PO%20PP%20233%2024-25.pdf" TargetMode="External"/><Relationship Id="rId37" Type="http://schemas.openxmlformats.org/officeDocument/2006/relationships/hyperlink" Target="PDF%20ORDER%20COPIES%20CPL\POWER%20PLANT\Power%20Plant%20e-copy%20po%20folder%2024-25\DRYTECH%20ENGINEERS%20-%20CPL%20PO%20PP%20252%2024-25.pdf" TargetMode="External"/><Relationship Id="rId40" Type="http://schemas.openxmlformats.org/officeDocument/2006/relationships/hyperlink" Target="PDF%20ORDER%20COPIES%20CPL\POWER%20PLANT\Power%20Plant%20e-copy%20po%20folder%2024-25\KANA%20ELECTROMECHS%20-%20CPL%20PO%20PP%20251%2024-25.pdf" TargetMode="External"/><Relationship Id="rId45" Type="http://schemas.openxmlformats.org/officeDocument/2006/relationships/hyperlink" Target="PDF%20ORDER%20COPIES%20CPL\POWER%20PLANT\Power%20Plant%20e-copy%20po%20folder%2024-25\SPARES%20&amp;%20EQUIPMENT%20EMPORIUM%20-%20CPL%20PO%20PP%20257%2024-25.pdf" TargetMode="External"/><Relationship Id="rId53" Type="http://schemas.openxmlformats.org/officeDocument/2006/relationships/hyperlink" Target="PDF%20ORDER%20COPIES%20CPL\POWER%20PLANT\Power%20Plant%20e-copy%20po%20folder%2024-25\JAYPEE%20ENGINEERING%20&amp;%20HYDRAULIC%20EQUIPMENT%20CO.%20LTD.%20-%20CPL%20PO%20PP%20261%2024-25.pdf" TargetMode="External"/><Relationship Id="rId58" Type="http://schemas.openxmlformats.org/officeDocument/2006/relationships/hyperlink" Target="PDF%20ORDER%20COPIES%20CPL\POWER%20PLANT\Power%20Plant%20e-copy%20po%20folder%2024-25\A.K.%20JAIN%20&amp;%20SONS%20-%20CPL%20PO%20PP%20273%2024-25.pdf" TargetMode="External"/><Relationship Id="rId66" Type="http://schemas.openxmlformats.org/officeDocument/2006/relationships/hyperlink" Target="PDF%20ORDER%20COPIES%20CPL\POWER%20PLANT\Power%20Plant%20e-copy%20po%20folder%2024-25\A.K.%20JAIN%20&amp;%20SONS%20-%20CPL%20PO%20PP%20280%2024-25.pdf" TargetMode="External"/><Relationship Id="rId5" Type="http://schemas.openxmlformats.org/officeDocument/2006/relationships/hyperlink" Target="PDF%20ORDER%20COPIES%20CPL\POWER%20PLANT\Power%20Plant%20e-copy%20po%20folder%2024-25\JAGANNATH%20ENTERPRISE%20-%20CPL%20PO%20PP%20214%2024-25.pdf" TargetMode="External"/><Relationship Id="rId61" Type="http://schemas.openxmlformats.org/officeDocument/2006/relationships/hyperlink" Target="PDF%20ORDER%20COPIES%20CPL\POWER%20PLANT\Power%20Plant%20e-copy%20po%20folder%2024-25\TEGA%20MCNALLY%20MINERALS%20LTD.%20-%20CPL%20PO%20PP%20270%2024-25.pdf" TargetMode="External"/><Relationship Id="rId19" Type="http://schemas.openxmlformats.org/officeDocument/2006/relationships/hyperlink" Target="PDF%20ORDER%20COPIES%20CPL\POWER%20PLANT\Power%20Plant%20e-copy%20po%20folder%2024-25\ADOR%20POWERTRON%20LIMITED%20-%20CPL%20PO%20PP%20225%2024-25.pdf" TargetMode="External"/><Relationship Id="rId14" Type="http://schemas.openxmlformats.org/officeDocument/2006/relationships/hyperlink" Target="PDF%20ORDER%20COPIES%20CPL\POWER%20PLANT\Power%20Plant%20e-copy%20po%20folder%2024-25\SHREE%20MANMOHAN%20CORPORATION%20-%20CPL%20PO%20PP%20231%2024-25.pdf" TargetMode="External"/><Relationship Id="rId22" Type="http://schemas.openxmlformats.org/officeDocument/2006/relationships/hyperlink" Target="PDF%20ORDER%20COPIES%20CPL\POWER%20PLANT\Power%20Plant%20e-copy%20po%20folder%2024-25\N%20K%20ENTERPRISE%20-%20CPL%20PO%20PP%20230%2024-25.pdf" TargetMode="External"/><Relationship Id="rId27" Type="http://schemas.openxmlformats.org/officeDocument/2006/relationships/hyperlink" Target="PDF%20ORDER%20COPIES%20CPL\POWER%20PLANT\Power%20Plant%20e-copy%20po%20folder%2024-25\SHREE%20MANMOHAN%20CORPORATION%20-%20CPL%20PO%20PP%20240%2024-25.pdf" TargetMode="External"/><Relationship Id="rId30" Type="http://schemas.openxmlformats.org/officeDocument/2006/relationships/hyperlink" Target="PDF%20ORDER%20COPIES%20CPL\POWER%20PLANT\Power%20Plant%20e-copy%20po%20folder%2024-25\P.D.%20HYDRAULICS%20-%20CPL%20PO%20PP%20244%2024-25.pdf" TargetMode="External"/><Relationship Id="rId35" Type="http://schemas.openxmlformats.org/officeDocument/2006/relationships/hyperlink" Target="PDF%20ORDER%20COPIES%20CPL\POWER%20PLANT\Power%20Plant%20e-copy%20po%20folder%2024-25\VOLTAS%20LIMITED%20-%20CPL%20PO%20PP%20247%2024-25.pdf" TargetMode="External"/><Relationship Id="rId43" Type="http://schemas.openxmlformats.org/officeDocument/2006/relationships/hyperlink" Target="PDF%20ORDER%20COPIES%20CPL\POWER%20PLANT\Power%20Plant%20e-copy%20po%20folder%2024-25\DEIFIK%20AUTOMATIONS%20PVT.%20LTD.%20-%20CPL%20PO%20PP%20255%2024-25.pdf" TargetMode="External"/><Relationship Id="rId48" Type="http://schemas.openxmlformats.org/officeDocument/2006/relationships/hyperlink" Target="PDF%20ORDER%20COPIES%20CPL\POWER%20PLANT\Power%20Plant%20e-copy%20po%20folder%2024-25\MAA%20LAXMI%20TRADERS%20-%20CPL%20PO%20PP%20262%2024-25.pdf" TargetMode="External"/><Relationship Id="rId56" Type="http://schemas.openxmlformats.org/officeDocument/2006/relationships/hyperlink" Target="PDF%20ORDER%20COPIES%20CPL\POWER%20PLANT\Power%20Plant%20e-copy%20po%20folder%2024-25\EASTERN%20TRADE%20CENTRE%20-%20CPL%20PO%20PP%20272%2024-25.pdf" TargetMode="External"/><Relationship Id="rId64" Type="http://schemas.openxmlformats.org/officeDocument/2006/relationships/hyperlink" Target="PDF%20ORDER%20COPIES%20CPL\POWER%20PLANT\Power%20Plant%20e-copy%20po%20folder%2024-25\INDUSTRIAL%20STORES%20AND%20HARDWARE%20SUPPLIERS%20-%20CPL%20PO%20PP%20274%2024-25.pdf" TargetMode="External"/><Relationship Id="rId69" Type="http://schemas.openxmlformats.org/officeDocument/2006/relationships/hyperlink" Target="PDF%20ORDER%20COPIES%20CPL\POWER%20PLANT\Power%20Plant%20e-copy%20po%20folder%2024-25\SONATA%20METALS%20INDUSTRIES%20-%20CPL%20PO%20PP%20279%2024-25.pdf" TargetMode="External"/><Relationship Id="rId8" Type="http://schemas.openxmlformats.org/officeDocument/2006/relationships/hyperlink" Target="PDF%20ORDER%20COPIES%20CPL\POWER%20PLANT\Power%20Plant%20e-copy%20po%20folder%2024-25\ORIENTAL%20COMPRESSOR%20ACCESSORIES%20PVT.%20LTD.%20-%20CPL%20PO%20PP%20217%2024-25.pdf" TargetMode="External"/><Relationship Id="rId51" Type="http://schemas.openxmlformats.org/officeDocument/2006/relationships/hyperlink" Target="PDF%20ORDER%20COPIES%20CPL\POWER%20PLANT\Power%20Plant%20e-copy%20po%20folder%2024-25\CONTINENTAL%20HARDWARE%20MART%20-%20CPL%20PO%20PP%20265%2024-25.pdf" TargetMode="External"/><Relationship Id="rId3" Type="http://schemas.openxmlformats.org/officeDocument/2006/relationships/hyperlink" Target="PDF%20ORDER%20COPIES%20CPL\POWER%20PLANT\Power%20Plant%20e-copy%20po%20folder%2024-25\CANTEEN%20&amp;%20KITCHEN%20APPLIANCES%20-%20CPL%20PO%20PP%20221%2024-25.pdf" TargetMode="External"/><Relationship Id="rId12" Type="http://schemas.openxmlformats.org/officeDocument/2006/relationships/hyperlink" Target="PDF%20ORDER%20COPIES%20CPL\POWER%20PLANT\Power%20Plant%20e-copy%20po%20folder%2024-25\A.K.%20JAIN%20&amp;%20SONS%20-%20CPL%20PO%20PP%20229%2024-25.pdf" TargetMode="External"/><Relationship Id="rId17" Type="http://schemas.openxmlformats.org/officeDocument/2006/relationships/hyperlink" Target="PDF%20ORDER%20COPIES%20CPL\POWER%20PLANT\Power%20Plant%20e-copy%20po%20folder%2024-25\AKSHAY%20ELECTROTECH%20PVT.%20LTD.%20-%20CPL%20PO%20PP%20235%2024-25.pdf" TargetMode="External"/><Relationship Id="rId25" Type="http://schemas.openxmlformats.org/officeDocument/2006/relationships/hyperlink" Target="PDF%20ORDER%20COPIES%20CPL\POWER%20PLANT\Power%20Plant%20e-copy%20po%20folder%2024-25\P.D.%20HYDRAULICS%20-%20CPL%20PO%20PP%20238%2024-25.pdf" TargetMode="External"/><Relationship Id="rId33" Type="http://schemas.openxmlformats.org/officeDocument/2006/relationships/hyperlink" Target="PDF%20ORDER%20COPIES%20CPL\POWER%20PLANT\Power%20Plant%20e-copy%20po%20folder%2024-25\COMPUTER%20TECHNOLOGY%20SERVICES%20-%20CPL%20PO%20PP%20243%2024-25.pdf" TargetMode="External"/><Relationship Id="rId38" Type="http://schemas.openxmlformats.org/officeDocument/2006/relationships/hyperlink" Target="PDF%20ORDER%20COPIES%20CPL\POWER%20PLANT\Power%20Plant%20e-copy%20po%20folder%2024-25\SANJOY%20GRINDING%20SERVICE%20-%20CPL%20PO%20PP%20249%2024-25.pdf" TargetMode="External"/><Relationship Id="rId46" Type="http://schemas.openxmlformats.org/officeDocument/2006/relationships/hyperlink" Target="PDF%20ORDER%20COPIES%20CPL\POWER%20PLANT\Power%20Plant%20e-copy%20po%20folder%2024-25\A.K.%20JAIN%20&amp;%20SONS%20-%20CPL%20PO%20PP%20258%2024-25.pdf" TargetMode="External"/><Relationship Id="rId59" Type="http://schemas.openxmlformats.org/officeDocument/2006/relationships/hyperlink" Target="PDF%20ORDER%20COPIES%20CPL\POWER%20PLANT\Power%20Plant%20e-copy%20po%20folder%2024-25\CASTWEL%20INDUSTRIES%20PVT.%20LTD.%20-%20CPL%20PO%20PP%20275%2024-25.pdf" TargetMode="External"/><Relationship Id="rId67" Type="http://schemas.openxmlformats.org/officeDocument/2006/relationships/hyperlink" Target="PDF%20ORDER%20COPIES%20CPL\POWER%20PLANT\Power%20Plant%20e-copy%20po%20folder%2024-25\PATESARIA%20BROTHERS%20-%20CPL%20PO%20PP%20281%2024-25.pdf" TargetMode="External"/><Relationship Id="rId20" Type="http://schemas.openxmlformats.org/officeDocument/2006/relationships/hyperlink" Target="PDF%20ORDER%20COPIES%20CPL\POWER%20PLANT\Power%20Plant%20e-copy%20po%20folder%2024-25\SSK%20ELECTRICALS%20EQUIPMENT%20LLP%20-%20CPL%20PO%20PP%20226%2024-25.pdf" TargetMode="External"/><Relationship Id="rId41" Type="http://schemas.openxmlformats.org/officeDocument/2006/relationships/hyperlink" Target="PDF%20ORDER%20COPIES%20CPL\POWER%20PLANT\Power%20Plant%20e-copy%20po%20folder%2024-25\AUSTEN%20HADFIELD%20MANUFACTURING%20CO.%20PVT.%20LTD.%20-%20CPL%20PO%20PP%20253%2024-25.pdf" TargetMode="External"/><Relationship Id="rId54" Type="http://schemas.openxmlformats.org/officeDocument/2006/relationships/hyperlink" Target="PDF%20ORDER%20COPIES%20CPL\POWER%20PLANT\Power%20Plant%20e-copy%20po%20folder%2024-25\ROYAL%20ENGINEERING%20CO.%20-%20CPL%20PO%20PP%20267%2024-25.pdf" TargetMode="External"/><Relationship Id="rId62" Type="http://schemas.openxmlformats.org/officeDocument/2006/relationships/hyperlink" Target="PDF%20ORDER%20COPIES%20CPL\POWER%20PLANT\Power%20Plant%20e-copy%20po%20folder%2024-25\T.P.%20BHATTACHARJEE%20&amp;%20CO.%20PVT.%20LTD.%20-%20CPL%20PO%20PP%20271%2024-25.pdf" TargetMode="External"/><Relationship Id="rId70" Type="http://schemas.openxmlformats.org/officeDocument/2006/relationships/hyperlink" Target="PDF%20ORDER%20COPIES%20CPL\POWER%20PLANT\Power%20Plant%20e-copy%20po%20folder%2024-25\PAL%20CONSTRUCTION%20-%20CPL%20PO%20PP%20278%2024-25.pdf" TargetMode="External"/><Relationship Id="rId1" Type="http://schemas.openxmlformats.org/officeDocument/2006/relationships/hyperlink" Target="PDF%20ORDER%20COPIES%20CPL\POWER%20PLANT\Power%20Plant%20e-copy%20po%20folder%2024-25\ORIENTAL%20COMPRESSOR%20ACESSORIES%20PVT.%20LTD.%20-%20CPL%20PO%20PP%20223%2024-25.pdf" TargetMode="External"/><Relationship Id="rId6" Type="http://schemas.openxmlformats.org/officeDocument/2006/relationships/hyperlink" Target="PDF%20ORDER%20COPIES%20CPL\POWER%20PLANT\Power%20Plant%20e-copy%20po%20folder%2024-25\S.%20R.%20ENTERPRISE%20-%20CPL%20PO%20PP%20215%2024-25.pdf" TargetMode="External"/><Relationship Id="rId15" Type="http://schemas.openxmlformats.org/officeDocument/2006/relationships/hyperlink" Target="PDF%20ORDER%20COPIES%20CPL\POWER%20PLANT\Power%20Plant%20e-copy%20po%20folder%2024-25\TYCOON%20CONCERN%20-%20CPL%20PO%20PP%20232%2024-25.pdf" TargetMode="External"/><Relationship Id="rId23" Type="http://schemas.openxmlformats.org/officeDocument/2006/relationships/hyperlink" Target="PDF%20ORDER%20COPIES%20CPL\POWER%20PLANT\Power%20Plant%20e-copy%20po%20folder%2024-25\CORROSION%20PROTECTION%20PVT.%20LTD.%20-%20CPL%20PO%20PP%20236%2024-25.pdf" TargetMode="External"/><Relationship Id="rId28" Type="http://schemas.openxmlformats.org/officeDocument/2006/relationships/hyperlink" Target="PDF%20ORDER%20COPIES%20CPL\POWER%20PLANT\Power%20Plant%20e-copy%20po%20folder%2024-25\TARAMA%20TRADING%20COMPANY%20-%20CPL%20PO%20PP%20241%2024-25.pdf" TargetMode="External"/><Relationship Id="rId36" Type="http://schemas.openxmlformats.org/officeDocument/2006/relationships/hyperlink" Target="PDF%20ORDER%20COPIES%20CPL\POWER%20PLANT\Power%20Plant%20e-copy%20po%20folder%2024-25\SUNRISE%20INTERNATIONAL%20-%20CPL%20PO%20PP%20248%2024-25.pdf" TargetMode="External"/><Relationship Id="rId49" Type="http://schemas.openxmlformats.org/officeDocument/2006/relationships/hyperlink" Target="PDF%20ORDER%20COPIES%20CPL\POWER%20PLANT\Power%20Plant%20e-copy%20po%20folder%2024-25\T.P.%20BHATTACHARJEE%20&amp;%20CO.%20PVT.%20LTD.%20-%20CPL%20PO%20PP%20263%2024-25.pdf" TargetMode="External"/><Relationship Id="rId57" Type="http://schemas.openxmlformats.org/officeDocument/2006/relationships/hyperlink" Target="PDF%20ORDER%20COPIES%20CPL\POWER%20PLANT\Power%20Plant%20e-copy%20po%20folder%2024-25\A.K.%20JAIN%20&amp;%20SONS%20-%20CPL%20PO%20PP%20277%2024-25.pdf" TargetMode="External"/><Relationship Id="rId10" Type="http://schemas.openxmlformats.org/officeDocument/2006/relationships/hyperlink" Target="PDF%20ORDER%20COPIES%20CPL\POWER%20PLANT\Power%20Plant%20e-copy%20po%20folder%2024-25\PATESARIA%20BROTHERS%20-%20CPL%20PO%20PP%20219%2024-25.pdf" TargetMode="External"/><Relationship Id="rId31" Type="http://schemas.openxmlformats.org/officeDocument/2006/relationships/hyperlink" Target="PDF%20ORDER%20COPIES%20CPL\POWER%20PLANT\Power%20Plant%20e-copy%20po%20folder%2024-25\SHREE%20VENKATESHWARA%20ELECTRICS%20-%20CPL%20PO%20PP%20245%2024-25.pdf" TargetMode="External"/><Relationship Id="rId44" Type="http://schemas.openxmlformats.org/officeDocument/2006/relationships/hyperlink" Target="PDF%20ORDER%20COPIES%20CPL\POWER%20PLANT\Power%20Plant%20e-copy%20po%20folder%2024-25\ROYAL%20ENGINEERING%20CO.%20-%20CPL%20PO%20PP%20256%2024-25.pdf" TargetMode="External"/><Relationship Id="rId52" Type="http://schemas.openxmlformats.org/officeDocument/2006/relationships/hyperlink" Target="PDF%20ORDER%20COPIES%20CPL\POWER%20PLANT\Power%20Plant%20e-copy%20po%20folder%2024-25\MAYANK%20STORES%20AGENCY%20-%20CPL%20PO%20PP%20266%2024-25.pdf" TargetMode="External"/><Relationship Id="rId60" Type="http://schemas.openxmlformats.org/officeDocument/2006/relationships/hyperlink" Target="PDF%20ORDER%20COPIES%20CPL\POWER%20PLANT\Power%20Plant%20e-copy%20po%20folder%2024-25\AUSTEN%20HADFIELD%20MANUFACTURING%20CO.%20PVT.%20LTD.%20-%20CPL%20PO%20PP%20269%2024-25.pdf" TargetMode="External"/><Relationship Id="rId65" Type="http://schemas.openxmlformats.org/officeDocument/2006/relationships/hyperlink" Target="PDF%20ORDER%20COPIES%20CPL\POWER%20PLANT\Power%20Plant%20e-copy%20po%20folder%2024-25\EXIDE%20INDUSTRIES%20LIMITED%20-%20CPL%20PO%20PP%20276%2024-25.pdf" TargetMode="External"/><Relationship Id="rId4" Type="http://schemas.openxmlformats.org/officeDocument/2006/relationships/hyperlink" Target="PDF%20ORDER%20COPIES%20CPL\POWER%20PLANT\Power%20Plant%20e-copy%20po%20folder%2024-25\POWER%20SYSTEMS%20-%20CPL%20PO%20PP%20213%2024-25.pdf" TargetMode="External"/><Relationship Id="rId9" Type="http://schemas.openxmlformats.org/officeDocument/2006/relationships/hyperlink" Target="PDF%20ORDER%20COPIES%20CPL\POWER%20PLANT\Power%20Plant%20e-copy%20po%20folder%2024-25\FLOWMORE%20LIMITED%20-%20CPL%20PO%20PP%20218%2024-25.pdf" TargetMode="External"/><Relationship Id="rId13" Type="http://schemas.openxmlformats.org/officeDocument/2006/relationships/hyperlink" Target="PDF%20ORDER%20COPIES%20CPL\POWER%20PLANT\Power%20Plant%20e-copy%20po%20folder%2024-25\MAYANK%20STORES%20AGENCY%20-%20CPL%20PO%20PP%20228%2024-25.pdf" TargetMode="External"/><Relationship Id="rId18" Type="http://schemas.openxmlformats.org/officeDocument/2006/relationships/hyperlink" Target="PDF%20ORDER%20COPIES%20CPL\POWER%20PLANT\Power%20Plant%20e-copy%20po%20folder%2024-25\T.P.%20BHATTACHARJEE%20&amp;%20CO.%20PVT.%20LTD.%20-%20CPL%20PO%20PP%20224%2024-25.pdf" TargetMode="External"/><Relationship Id="rId39" Type="http://schemas.openxmlformats.org/officeDocument/2006/relationships/hyperlink" Target="PDF%20ORDER%20COPIES%20CPL\POWER%20PLANT\Power%20Plant%20e-copy%20po%20folder%2024-25\MACAWBER%20BEEKAY%20PVT.%20LTD.%20-%20CPL%20PO%20PP%20250%2024-25.pdf" TargetMode="External"/><Relationship Id="rId34" Type="http://schemas.openxmlformats.org/officeDocument/2006/relationships/hyperlink" Target="PDF%20ORDER%20COPIES%20CPL\POWER%20PLANT\Power%20Plant%20e-copy%20po%20folder%2024-25\A.K.%20JAIN%20&amp;%20SONS%20-%20CPL%20PO%20PP%20246%2024-25.pdf" TargetMode="External"/><Relationship Id="rId50" Type="http://schemas.openxmlformats.org/officeDocument/2006/relationships/hyperlink" Target="PDF%20ORDER%20COPIES%20CPL\POWER%20PLANT\Power%20Plant%20e-copy%20po%20folder%2024-25\J.S.%20PVT.%20LTD.%20-%20CPL%20PO%20PP%20264%2024-25.pdf" TargetMode="External"/><Relationship Id="rId55" Type="http://schemas.openxmlformats.org/officeDocument/2006/relationships/hyperlink" Target="PDF%20ORDER%20COPIES%20CPL\POWER%20PLANT\Power%20Plant%20e-copy%20po%20folder%2024-25\R%20&amp;%20S%20SOLUTIONS%20-%20CPL%20PO%20PP%20268%2024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S288"/>
  <sheetViews>
    <sheetView tabSelected="1" topLeftCell="G132" zoomScaleNormal="100" workbookViewId="0">
      <selection activeCell="G143" sqref="G143:G176"/>
    </sheetView>
  </sheetViews>
  <sheetFormatPr defaultRowHeight="12.75"/>
  <cols>
    <col min="1" max="1" width="12.85546875" bestFit="1" customWidth="1"/>
    <col min="2" max="2" width="20" bestFit="1" customWidth="1"/>
    <col min="3" max="3" width="14.140625" bestFit="1" customWidth="1"/>
    <col min="4" max="4" width="63.85546875" bestFit="1" customWidth="1"/>
    <col min="5" max="5" width="16.42578125" bestFit="1" customWidth="1"/>
    <col min="6" max="6" width="94.140625" style="80" customWidth="1"/>
    <col min="7" max="7" width="15.5703125" customWidth="1"/>
    <col min="8" max="8" width="11" customWidth="1"/>
    <col min="9" max="9" width="15.42578125" customWidth="1"/>
    <col min="10" max="10" width="24.42578125" style="86" bestFit="1" customWidth="1"/>
    <col min="11" max="11" width="22.42578125" bestFit="1" customWidth="1"/>
    <col min="12" max="12" width="20.28515625" customWidth="1"/>
    <col min="13" max="13" width="20.28515625" bestFit="1" customWidth="1"/>
    <col min="14" max="14" width="18.85546875" bestFit="1" customWidth="1"/>
    <col min="15" max="16" width="20.5703125" bestFit="1" customWidth="1"/>
    <col min="17" max="17" width="23.5703125" bestFit="1" customWidth="1"/>
    <col min="18" max="18" width="51" style="3" customWidth="1"/>
    <col min="19" max="19" width="35.85546875" style="4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9" ht="2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9" ht="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19" ht="15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</row>
    <row r="5" spans="1:1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</row>
    <row r="6" spans="1:19" ht="25.5">
      <c r="A6" s="13" t="s">
        <v>2</v>
      </c>
      <c r="B6" s="13" t="s">
        <v>3</v>
      </c>
      <c r="C6" s="14" t="s">
        <v>4</v>
      </c>
      <c r="D6" s="13" t="s">
        <v>5</v>
      </c>
      <c r="E6" s="15" t="s">
        <v>6</v>
      </c>
      <c r="F6" s="13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5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</row>
    <row r="7" spans="1:19">
      <c r="A7" s="17">
        <v>1</v>
      </c>
      <c r="B7" s="17" t="s">
        <v>20</v>
      </c>
      <c r="C7" s="18">
        <v>45384</v>
      </c>
      <c r="D7" s="19" t="s">
        <v>21</v>
      </c>
      <c r="E7" s="19" t="s">
        <v>22</v>
      </c>
      <c r="F7" s="17" t="s">
        <v>23</v>
      </c>
      <c r="G7" s="20">
        <v>20950</v>
      </c>
      <c r="H7" s="20">
        <f t="shared" ref="H7:H15" si="0">G7*18%</f>
        <v>3771</v>
      </c>
      <c r="I7" s="20">
        <f>G7+H7</f>
        <v>24721</v>
      </c>
      <c r="J7" s="21" t="s">
        <v>24</v>
      </c>
      <c r="K7" s="17" t="s">
        <v>25</v>
      </c>
      <c r="L7" s="22"/>
      <c r="M7" s="22"/>
      <c r="N7" s="22"/>
      <c r="O7" s="23" t="s">
        <v>26</v>
      </c>
      <c r="P7" s="24" t="s">
        <v>27</v>
      </c>
      <c r="Q7" s="25" t="s">
        <v>28</v>
      </c>
      <c r="R7" s="26" t="s">
        <v>29</v>
      </c>
      <c r="S7" s="4" t="s">
        <v>30</v>
      </c>
    </row>
    <row r="8" spans="1:19">
      <c r="A8" s="17">
        <v>2</v>
      </c>
      <c r="B8" s="17" t="s">
        <v>31</v>
      </c>
      <c r="C8" s="18">
        <v>45386</v>
      </c>
      <c r="D8" s="17" t="s">
        <v>32</v>
      </c>
      <c r="E8" s="17" t="s">
        <v>33</v>
      </c>
      <c r="F8" s="27" t="s">
        <v>34</v>
      </c>
      <c r="G8" s="28">
        <v>289654</v>
      </c>
      <c r="H8" s="28">
        <f t="shared" si="0"/>
        <v>52137.72</v>
      </c>
      <c r="I8" s="28">
        <f t="shared" ref="I8:I15" si="1">H8+G8</f>
        <v>341791.72</v>
      </c>
      <c r="J8" s="21" t="s">
        <v>35</v>
      </c>
      <c r="K8" s="17" t="s">
        <v>25</v>
      </c>
      <c r="L8" s="22"/>
      <c r="M8" s="22"/>
      <c r="N8" s="22"/>
      <c r="O8" s="23"/>
      <c r="P8" s="24" t="s">
        <v>36</v>
      </c>
      <c r="Q8" s="24" t="s">
        <v>37</v>
      </c>
      <c r="R8" s="29" t="s">
        <v>38</v>
      </c>
      <c r="S8" s="30"/>
    </row>
    <row r="9" spans="1:19" ht="14.25">
      <c r="A9" s="17">
        <v>3</v>
      </c>
      <c r="B9" s="17" t="s">
        <v>39</v>
      </c>
      <c r="C9" s="18">
        <v>45387</v>
      </c>
      <c r="D9" s="19" t="s">
        <v>40</v>
      </c>
      <c r="E9" s="19" t="s">
        <v>22</v>
      </c>
      <c r="F9" s="17" t="s">
        <v>41</v>
      </c>
      <c r="G9" s="28">
        <v>68300</v>
      </c>
      <c r="H9" s="28">
        <f t="shared" si="0"/>
        <v>12294</v>
      </c>
      <c r="I9" s="28">
        <f t="shared" si="1"/>
        <v>80594</v>
      </c>
      <c r="J9" s="21" t="s">
        <v>35</v>
      </c>
      <c r="K9" s="19" t="s">
        <v>25</v>
      </c>
      <c r="L9" s="22"/>
      <c r="M9" s="22"/>
      <c r="N9" s="22"/>
      <c r="O9" s="23" t="s">
        <v>42</v>
      </c>
      <c r="P9" s="24" t="s">
        <v>27</v>
      </c>
      <c r="Q9" s="24" t="s">
        <v>37</v>
      </c>
      <c r="R9" s="26" t="s">
        <v>43</v>
      </c>
      <c r="S9" s="30"/>
    </row>
    <row r="10" spans="1:19">
      <c r="A10" s="17">
        <v>4</v>
      </c>
      <c r="B10" s="17" t="s">
        <v>44</v>
      </c>
      <c r="C10" s="18">
        <v>45387</v>
      </c>
      <c r="D10" s="17" t="s">
        <v>45</v>
      </c>
      <c r="E10" s="17" t="s">
        <v>46</v>
      </c>
      <c r="F10" s="17" t="s">
        <v>47</v>
      </c>
      <c r="G10" s="20">
        <v>515000</v>
      </c>
      <c r="H10" s="28">
        <f t="shared" si="0"/>
        <v>92700</v>
      </c>
      <c r="I10" s="28">
        <f t="shared" si="1"/>
        <v>607700</v>
      </c>
      <c r="J10" s="21" t="s">
        <v>35</v>
      </c>
      <c r="K10" s="19" t="s">
        <v>25</v>
      </c>
      <c r="L10" s="22"/>
      <c r="M10" s="22"/>
      <c r="N10" s="22"/>
      <c r="O10" s="22"/>
      <c r="P10" s="24" t="s">
        <v>36</v>
      </c>
      <c r="Q10" s="24" t="s">
        <v>37</v>
      </c>
      <c r="R10" s="17"/>
      <c r="S10" s="30"/>
    </row>
    <row r="11" spans="1:19">
      <c r="A11" s="17">
        <v>5</v>
      </c>
      <c r="B11" s="17" t="s">
        <v>48</v>
      </c>
      <c r="C11" s="18">
        <v>45390</v>
      </c>
      <c r="D11" s="17" t="s">
        <v>49</v>
      </c>
      <c r="E11" s="17" t="s">
        <v>22</v>
      </c>
      <c r="F11" s="17" t="s">
        <v>50</v>
      </c>
      <c r="G11" s="28">
        <v>29288</v>
      </c>
      <c r="H11" s="28">
        <f t="shared" si="0"/>
        <v>5271.84</v>
      </c>
      <c r="I11" s="28">
        <f t="shared" si="1"/>
        <v>34559.839999999997</v>
      </c>
      <c r="J11" s="21" t="s">
        <v>35</v>
      </c>
      <c r="K11" s="19" t="s">
        <v>25</v>
      </c>
      <c r="L11" s="22"/>
      <c r="M11" s="22"/>
      <c r="N11" s="22"/>
      <c r="O11" s="22"/>
      <c r="P11" s="24" t="s">
        <v>51</v>
      </c>
      <c r="Q11" s="24" t="s">
        <v>37</v>
      </c>
      <c r="R11" s="17"/>
      <c r="S11" s="30" t="s">
        <v>30</v>
      </c>
    </row>
    <row r="12" spans="1:19">
      <c r="A12" s="17">
        <v>6</v>
      </c>
      <c r="B12" s="17" t="s">
        <v>52</v>
      </c>
      <c r="C12" s="18">
        <v>45390</v>
      </c>
      <c r="D12" s="19" t="s">
        <v>53</v>
      </c>
      <c r="E12" s="19" t="s">
        <v>22</v>
      </c>
      <c r="F12" s="17" t="s">
        <v>54</v>
      </c>
      <c r="G12" s="28">
        <v>19200</v>
      </c>
      <c r="H12" s="28">
        <f t="shared" si="0"/>
        <v>3456</v>
      </c>
      <c r="I12" s="28">
        <f t="shared" si="1"/>
        <v>22656</v>
      </c>
      <c r="J12" s="21" t="s">
        <v>35</v>
      </c>
      <c r="K12" s="19" t="s">
        <v>25</v>
      </c>
      <c r="L12" s="22"/>
      <c r="M12" s="22"/>
      <c r="N12" s="22"/>
      <c r="O12" s="22"/>
      <c r="P12" s="24" t="s">
        <v>51</v>
      </c>
      <c r="Q12" s="24" t="s">
        <v>37</v>
      </c>
      <c r="R12" s="17"/>
      <c r="S12" s="30" t="s">
        <v>30</v>
      </c>
    </row>
    <row r="13" spans="1:19">
      <c r="A13" s="17">
        <v>7</v>
      </c>
      <c r="B13" s="17" t="s">
        <v>55</v>
      </c>
      <c r="C13" s="18">
        <v>45390</v>
      </c>
      <c r="D13" s="19" t="s">
        <v>56</v>
      </c>
      <c r="E13" s="19" t="s">
        <v>22</v>
      </c>
      <c r="F13" s="17" t="s">
        <v>57</v>
      </c>
      <c r="G13" s="28">
        <v>75750</v>
      </c>
      <c r="H13" s="28">
        <f t="shared" si="0"/>
        <v>13635</v>
      </c>
      <c r="I13" s="28">
        <f t="shared" si="1"/>
        <v>89385</v>
      </c>
      <c r="J13" s="21" t="s">
        <v>35</v>
      </c>
      <c r="K13" s="17" t="s">
        <v>25</v>
      </c>
      <c r="L13" s="22"/>
      <c r="M13" s="22"/>
      <c r="N13" s="22"/>
      <c r="O13" s="23"/>
      <c r="P13" s="24" t="s">
        <v>51</v>
      </c>
      <c r="Q13" s="25" t="s">
        <v>28</v>
      </c>
      <c r="R13" s="26"/>
      <c r="S13" s="30"/>
    </row>
    <row r="14" spans="1:19">
      <c r="A14" s="17">
        <v>8</v>
      </c>
      <c r="B14" s="17" t="s">
        <v>58</v>
      </c>
      <c r="C14" s="18">
        <v>45391</v>
      </c>
      <c r="D14" s="19" t="s">
        <v>59</v>
      </c>
      <c r="E14" s="19" t="s">
        <v>22</v>
      </c>
      <c r="F14" s="17" t="s">
        <v>60</v>
      </c>
      <c r="G14" s="28">
        <v>2347</v>
      </c>
      <c r="H14" s="28">
        <f t="shared" si="0"/>
        <v>422.46</v>
      </c>
      <c r="I14" s="28">
        <f t="shared" si="1"/>
        <v>2769.46</v>
      </c>
      <c r="J14" s="21" t="s">
        <v>35</v>
      </c>
      <c r="K14" s="17" t="s">
        <v>25</v>
      </c>
      <c r="L14" s="22"/>
      <c r="M14" s="22"/>
      <c r="N14" s="22"/>
      <c r="O14" s="23"/>
      <c r="P14" s="24" t="s">
        <v>51</v>
      </c>
      <c r="Q14" s="25" t="s">
        <v>28</v>
      </c>
      <c r="R14" s="31"/>
      <c r="S14" s="30" t="s">
        <v>30</v>
      </c>
    </row>
    <row r="15" spans="1:19">
      <c r="A15" s="17">
        <v>9</v>
      </c>
      <c r="B15" s="17" t="s">
        <v>61</v>
      </c>
      <c r="C15" s="18">
        <v>45391</v>
      </c>
      <c r="D15" s="19" t="s">
        <v>62</v>
      </c>
      <c r="E15" s="19" t="s">
        <v>22</v>
      </c>
      <c r="F15" s="17" t="s">
        <v>63</v>
      </c>
      <c r="G15" s="28">
        <v>22730</v>
      </c>
      <c r="H15" s="28">
        <f t="shared" si="0"/>
        <v>4091.3999999999996</v>
      </c>
      <c r="I15" s="28">
        <f t="shared" si="1"/>
        <v>26821.4</v>
      </c>
      <c r="J15" s="21" t="s">
        <v>35</v>
      </c>
      <c r="K15" s="17" t="s">
        <v>25</v>
      </c>
      <c r="L15" s="22"/>
      <c r="M15" s="22"/>
      <c r="N15" s="22"/>
      <c r="O15" s="23"/>
      <c r="P15" s="24" t="s">
        <v>51</v>
      </c>
      <c r="Q15" s="25" t="s">
        <v>28</v>
      </c>
      <c r="R15" s="26"/>
      <c r="S15" s="30" t="s">
        <v>30</v>
      </c>
    </row>
    <row r="16" spans="1:19">
      <c r="A16" s="17">
        <v>10</v>
      </c>
      <c r="B16" s="17" t="s">
        <v>64</v>
      </c>
      <c r="C16" s="18">
        <v>45398</v>
      </c>
      <c r="D16" s="17" t="s">
        <v>65</v>
      </c>
      <c r="E16" s="17" t="s">
        <v>22</v>
      </c>
      <c r="F16" s="17" t="s">
        <v>66</v>
      </c>
      <c r="G16" s="20">
        <v>49000</v>
      </c>
      <c r="H16" s="20" t="s">
        <v>67</v>
      </c>
      <c r="I16" s="20">
        <f>G16</f>
        <v>49000</v>
      </c>
      <c r="J16" s="21" t="s">
        <v>35</v>
      </c>
      <c r="K16" s="17" t="s">
        <v>25</v>
      </c>
      <c r="L16" s="19"/>
      <c r="M16" s="18"/>
      <c r="N16" s="22"/>
      <c r="O16" s="23"/>
      <c r="P16" s="24" t="s">
        <v>51</v>
      </c>
      <c r="Q16" s="24" t="s">
        <v>37</v>
      </c>
      <c r="R16" s="29" t="s">
        <v>68</v>
      </c>
      <c r="S16" s="30" t="s">
        <v>30</v>
      </c>
    </row>
    <row r="17" spans="1:19">
      <c r="A17" s="17">
        <v>11</v>
      </c>
      <c r="B17" s="17" t="s">
        <v>69</v>
      </c>
      <c r="C17" s="18">
        <v>45398</v>
      </c>
      <c r="D17" s="17" t="s">
        <v>70</v>
      </c>
      <c r="E17" s="17" t="s">
        <v>22</v>
      </c>
      <c r="F17" s="17" t="s">
        <v>71</v>
      </c>
      <c r="G17" s="28">
        <v>42180</v>
      </c>
      <c r="H17" s="28">
        <f t="shared" ref="H17:H59" si="2">G17*18%</f>
        <v>7592.4</v>
      </c>
      <c r="I17" s="28">
        <f t="shared" ref="I17:I80" si="3">G17+H17</f>
        <v>49772.4</v>
      </c>
      <c r="J17" s="21" t="s">
        <v>35</v>
      </c>
      <c r="K17" s="17" t="s">
        <v>25</v>
      </c>
      <c r="L17" s="22"/>
      <c r="M17" s="22"/>
      <c r="N17" s="22"/>
      <c r="O17" s="23"/>
      <c r="P17" s="24" t="s">
        <v>36</v>
      </c>
      <c r="Q17" s="24" t="s">
        <v>37</v>
      </c>
      <c r="R17" s="29" t="s">
        <v>38</v>
      </c>
      <c r="S17" s="30" t="s">
        <v>30</v>
      </c>
    </row>
    <row r="18" spans="1:19">
      <c r="A18" s="17">
        <v>12</v>
      </c>
      <c r="B18" s="17" t="s">
        <v>72</v>
      </c>
      <c r="C18" s="18">
        <v>45398</v>
      </c>
      <c r="D18" s="19" t="s">
        <v>73</v>
      </c>
      <c r="E18" s="19" t="s">
        <v>22</v>
      </c>
      <c r="F18" s="17" t="s">
        <v>74</v>
      </c>
      <c r="G18" s="28">
        <v>22644.6</v>
      </c>
      <c r="H18" s="28">
        <f t="shared" si="2"/>
        <v>4076.0279999999998</v>
      </c>
      <c r="I18" s="28">
        <f t="shared" si="3"/>
        <v>26720.627999999997</v>
      </c>
      <c r="J18" s="21" t="s">
        <v>35</v>
      </c>
      <c r="K18" s="17" t="s">
        <v>25</v>
      </c>
      <c r="L18" s="22"/>
      <c r="M18" s="22"/>
      <c r="N18" s="22"/>
      <c r="O18" s="22"/>
      <c r="P18" s="24" t="s">
        <v>51</v>
      </c>
      <c r="Q18" s="25" t="s">
        <v>28</v>
      </c>
      <c r="R18" s="29" t="s">
        <v>38</v>
      </c>
      <c r="S18" s="30" t="s">
        <v>30</v>
      </c>
    </row>
    <row r="19" spans="1:19">
      <c r="A19" s="17">
        <v>13</v>
      </c>
      <c r="B19" s="17" t="s">
        <v>75</v>
      </c>
      <c r="C19" s="18">
        <v>45398</v>
      </c>
      <c r="D19" s="17" t="s">
        <v>76</v>
      </c>
      <c r="E19" s="17" t="s">
        <v>22</v>
      </c>
      <c r="F19" s="17" t="s">
        <v>77</v>
      </c>
      <c r="G19" s="28">
        <v>213400</v>
      </c>
      <c r="H19" s="28">
        <f t="shared" si="2"/>
        <v>38412</v>
      </c>
      <c r="I19" s="28">
        <f t="shared" si="3"/>
        <v>251812</v>
      </c>
      <c r="J19" s="21" t="s">
        <v>35</v>
      </c>
      <c r="K19" s="17" t="s">
        <v>25</v>
      </c>
      <c r="L19" s="17" t="s">
        <v>78</v>
      </c>
      <c r="M19" s="18">
        <v>45406</v>
      </c>
      <c r="N19" s="32">
        <v>253512</v>
      </c>
      <c r="O19" s="23" t="s">
        <v>42</v>
      </c>
      <c r="P19" s="24" t="s">
        <v>79</v>
      </c>
      <c r="Q19" s="24" t="s">
        <v>37</v>
      </c>
      <c r="R19" s="26" t="s">
        <v>80</v>
      </c>
      <c r="S19" s="30"/>
    </row>
    <row r="20" spans="1:19">
      <c r="A20" s="17">
        <v>14</v>
      </c>
      <c r="B20" s="17" t="s">
        <v>81</v>
      </c>
      <c r="C20" s="18">
        <v>45399</v>
      </c>
      <c r="D20" s="17" t="s">
        <v>82</v>
      </c>
      <c r="E20" s="17" t="s">
        <v>22</v>
      </c>
      <c r="F20" s="17" t="s">
        <v>83</v>
      </c>
      <c r="G20" s="28">
        <v>266892</v>
      </c>
      <c r="H20" s="28">
        <f t="shared" si="2"/>
        <v>48040.56</v>
      </c>
      <c r="I20" s="28">
        <f t="shared" si="3"/>
        <v>314932.56</v>
      </c>
      <c r="J20" s="21" t="s">
        <v>35</v>
      </c>
      <c r="K20" s="17" t="s">
        <v>25</v>
      </c>
      <c r="L20" s="17"/>
      <c r="M20" s="18"/>
      <c r="N20" s="32"/>
      <c r="O20" s="22"/>
      <c r="P20" s="24" t="s">
        <v>84</v>
      </c>
      <c r="Q20" s="25" t="s">
        <v>28</v>
      </c>
      <c r="R20" s="26" t="s">
        <v>85</v>
      </c>
      <c r="S20" s="30"/>
    </row>
    <row r="21" spans="1:19">
      <c r="A21" s="17">
        <v>15</v>
      </c>
      <c r="B21" s="17" t="s">
        <v>86</v>
      </c>
      <c r="C21" s="18">
        <v>45399</v>
      </c>
      <c r="D21" s="19" t="s">
        <v>53</v>
      </c>
      <c r="E21" s="19" t="s">
        <v>22</v>
      </c>
      <c r="F21" s="17" t="s">
        <v>54</v>
      </c>
      <c r="G21" s="28">
        <v>21489</v>
      </c>
      <c r="H21" s="28">
        <f t="shared" si="2"/>
        <v>3868.02</v>
      </c>
      <c r="I21" s="28">
        <f t="shared" si="3"/>
        <v>25357.02</v>
      </c>
      <c r="J21" s="21" t="s">
        <v>35</v>
      </c>
      <c r="K21" s="17" t="s">
        <v>25</v>
      </c>
      <c r="L21" s="19"/>
      <c r="M21" s="18"/>
      <c r="N21" s="32"/>
      <c r="O21" s="22"/>
      <c r="P21" s="24" t="s">
        <v>84</v>
      </c>
      <c r="Q21" s="24" t="s">
        <v>37</v>
      </c>
      <c r="R21" s="26" t="s">
        <v>85</v>
      </c>
      <c r="S21" s="30" t="s">
        <v>30</v>
      </c>
    </row>
    <row r="22" spans="1:19">
      <c r="A22" s="17">
        <v>16</v>
      </c>
      <c r="B22" s="17" t="s">
        <v>87</v>
      </c>
      <c r="C22" s="18">
        <v>45399</v>
      </c>
      <c r="D22" s="17" t="s">
        <v>59</v>
      </c>
      <c r="E22" s="17" t="s">
        <v>22</v>
      </c>
      <c r="F22" s="17" t="s">
        <v>88</v>
      </c>
      <c r="G22" s="28">
        <v>6500</v>
      </c>
      <c r="H22" s="28">
        <f t="shared" si="2"/>
        <v>1170</v>
      </c>
      <c r="I22" s="28">
        <f t="shared" si="3"/>
        <v>7670</v>
      </c>
      <c r="J22" s="21" t="s">
        <v>35</v>
      </c>
      <c r="K22" s="17" t="s">
        <v>25</v>
      </c>
      <c r="L22" s="22"/>
      <c r="M22" s="22"/>
      <c r="N22" s="22"/>
      <c r="O22" s="33"/>
      <c r="P22" s="24" t="s">
        <v>84</v>
      </c>
      <c r="Q22" s="25" t="s">
        <v>28</v>
      </c>
      <c r="R22" s="26" t="s">
        <v>85</v>
      </c>
      <c r="S22" s="4" t="s">
        <v>30</v>
      </c>
    </row>
    <row r="23" spans="1:19">
      <c r="A23" s="17">
        <v>17</v>
      </c>
      <c r="B23" s="17" t="s">
        <v>89</v>
      </c>
      <c r="C23" s="18">
        <v>45399</v>
      </c>
      <c r="D23" s="17" t="s">
        <v>90</v>
      </c>
      <c r="E23" s="17" t="s">
        <v>22</v>
      </c>
      <c r="F23" s="17" t="s">
        <v>91</v>
      </c>
      <c r="G23" s="28">
        <v>1493000</v>
      </c>
      <c r="H23" s="28">
        <f t="shared" si="2"/>
        <v>268740</v>
      </c>
      <c r="I23" s="28">
        <f t="shared" si="3"/>
        <v>1761740</v>
      </c>
      <c r="J23" s="21" t="s">
        <v>92</v>
      </c>
      <c r="K23" s="17" t="s">
        <v>25</v>
      </c>
      <c r="L23" s="17" t="s">
        <v>93</v>
      </c>
      <c r="M23" s="18">
        <v>45406</v>
      </c>
      <c r="N23" s="32">
        <v>1794001</v>
      </c>
      <c r="O23" s="22"/>
      <c r="P23" s="24" t="s">
        <v>84</v>
      </c>
      <c r="Q23" s="24" t="s">
        <v>37</v>
      </c>
      <c r="R23" s="26" t="s">
        <v>85</v>
      </c>
    </row>
    <row r="24" spans="1:19" s="4" customFormat="1">
      <c r="A24" s="17">
        <v>18</v>
      </c>
      <c r="B24" s="17" t="s">
        <v>94</v>
      </c>
      <c r="C24" s="18">
        <v>45401</v>
      </c>
      <c r="D24" s="17" t="s">
        <v>95</v>
      </c>
      <c r="E24" s="17" t="s">
        <v>22</v>
      </c>
      <c r="F24" s="17" t="s">
        <v>96</v>
      </c>
      <c r="G24" s="28">
        <v>49769</v>
      </c>
      <c r="H24" s="28">
        <f t="shared" si="2"/>
        <v>8958.42</v>
      </c>
      <c r="I24" s="28">
        <f t="shared" si="3"/>
        <v>58727.42</v>
      </c>
      <c r="J24" s="21" t="s">
        <v>24</v>
      </c>
      <c r="K24" s="19" t="s">
        <v>25</v>
      </c>
      <c r="L24" s="22"/>
      <c r="M24" s="22"/>
      <c r="N24" s="22"/>
      <c r="O24" s="22"/>
      <c r="P24" s="24" t="s">
        <v>36</v>
      </c>
      <c r="Q24" s="24" t="s">
        <v>37</v>
      </c>
      <c r="R24" s="17"/>
      <c r="S24" s="4" t="s">
        <v>30</v>
      </c>
    </row>
    <row r="25" spans="1:19">
      <c r="A25" s="17">
        <v>19</v>
      </c>
      <c r="B25" s="17" t="s">
        <v>97</v>
      </c>
      <c r="C25" s="18">
        <v>45401</v>
      </c>
      <c r="D25" s="17" t="s">
        <v>56</v>
      </c>
      <c r="E25" s="17" t="s">
        <v>22</v>
      </c>
      <c r="F25" s="27" t="s">
        <v>98</v>
      </c>
      <c r="G25" s="28">
        <v>83600</v>
      </c>
      <c r="H25" s="28">
        <f t="shared" si="2"/>
        <v>15048</v>
      </c>
      <c r="I25" s="28">
        <f t="shared" si="3"/>
        <v>98648</v>
      </c>
      <c r="J25" s="21" t="s">
        <v>35</v>
      </c>
      <c r="K25" s="19" t="s">
        <v>25</v>
      </c>
      <c r="L25" s="22"/>
      <c r="M25" s="22"/>
      <c r="N25" s="22"/>
      <c r="O25" s="22"/>
      <c r="P25" s="34" t="s">
        <v>84</v>
      </c>
      <c r="Q25" s="25" t="s">
        <v>28</v>
      </c>
      <c r="R25" s="26" t="s">
        <v>85</v>
      </c>
    </row>
    <row r="26" spans="1:19">
      <c r="A26" s="17">
        <v>20</v>
      </c>
      <c r="B26" s="17" t="s">
        <v>99</v>
      </c>
      <c r="C26" s="18">
        <v>45401</v>
      </c>
      <c r="D26" s="17" t="s">
        <v>100</v>
      </c>
      <c r="E26" s="17" t="s">
        <v>22</v>
      </c>
      <c r="F26" s="27" t="s">
        <v>101</v>
      </c>
      <c r="G26" s="28">
        <v>33670</v>
      </c>
      <c r="H26" s="28">
        <f t="shared" si="2"/>
        <v>6060.5999999999995</v>
      </c>
      <c r="I26" s="28">
        <f t="shared" si="3"/>
        <v>39730.6</v>
      </c>
      <c r="J26" s="21" t="s">
        <v>35</v>
      </c>
      <c r="K26" s="19" t="s">
        <v>25</v>
      </c>
      <c r="L26" s="19"/>
      <c r="M26" s="18"/>
      <c r="N26" s="32"/>
      <c r="O26" s="22"/>
      <c r="P26" s="34" t="s">
        <v>102</v>
      </c>
      <c r="Q26" s="25" t="s">
        <v>28</v>
      </c>
      <c r="R26" s="26" t="s">
        <v>85</v>
      </c>
      <c r="S26" s="35" t="s">
        <v>30</v>
      </c>
    </row>
    <row r="27" spans="1:19">
      <c r="A27" s="17">
        <v>21</v>
      </c>
      <c r="B27" s="17" t="s">
        <v>103</v>
      </c>
      <c r="C27" s="18">
        <v>45401</v>
      </c>
      <c r="D27" s="19" t="s">
        <v>104</v>
      </c>
      <c r="E27" s="19" t="s">
        <v>22</v>
      </c>
      <c r="F27" s="17" t="s">
        <v>105</v>
      </c>
      <c r="G27" s="28">
        <v>93075</v>
      </c>
      <c r="H27" s="28">
        <f t="shared" si="2"/>
        <v>16753.5</v>
      </c>
      <c r="I27" s="28">
        <f t="shared" si="3"/>
        <v>109828.5</v>
      </c>
      <c r="J27" s="21" t="s">
        <v>35</v>
      </c>
      <c r="K27" s="19" t="s">
        <v>25</v>
      </c>
      <c r="L27" s="22"/>
      <c r="M27" s="22"/>
      <c r="N27" s="22"/>
      <c r="O27" s="23"/>
      <c r="P27" s="34" t="s">
        <v>84</v>
      </c>
      <c r="Q27" s="24" t="s">
        <v>37</v>
      </c>
      <c r="R27" s="26" t="s">
        <v>85</v>
      </c>
    </row>
    <row r="28" spans="1:19">
      <c r="A28" s="17">
        <v>22</v>
      </c>
      <c r="B28" s="17" t="s">
        <v>106</v>
      </c>
      <c r="C28" s="18">
        <v>45401</v>
      </c>
      <c r="D28" s="17" t="s">
        <v>53</v>
      </c>
      <c r="E28" s="17" t="s">
        <v>22</v>
      </c>
      <c r="F28" s="17" t="s">
        <v>107</v>
      </c>
      <c r="G28" s="20">
        <v>1600</v>
      </c>
      <c r="H28" s="20">
        <f t="shared" si="2"/>
        <v>288</v>
      </c>
      <c r="I28" s="20">
        <f t="shared" si="3"/>
        <v>1888</v>
      </c>
      <c r="J28" s="21" t="s">
        <v>35</v>
      </c>
      <c r="K28" s="19" t="s">
        <v>25</v>
      </c>
      <c r="L28" s="22"/>
      <c r="M28" s="22"/>
      <c r="N28" s="22"/>
      <c r="O28" s="22"/>
      <c r="P28" s="34" t="s">
        <v>84</v>
      </c>
      <c r="Q28" s="24" t="s">
        <v>37</v>
      </c>
      <c r="R28" s="26" t="s">
        <v>85</v>
      </c>
      <c r="S28" s="4" t="s">
        <v>30</v>
      </c>
    </row>
    <row r="29" spans="1:19">
      <c r="A29" s="17">
        <v>23</v>
      </c>
      <c r="B29" s="17" t="s">
        <v>108</v>
      </c>
      <c r="C29" s="18">
        <v>45401</v>
      </c>
      <c r="D29" s="17" t="s">
        <v>90</v>
      </c>
      <c r="E29" s="17" t="s">
        <v>22</v>
      </c>
      <c r="F29" s="17" t="s">
        <v>109</v>
      </c>
      <c r="G29" s="28">
        <v>1273220</v>
      </c>
      <c r="H29" s="28">
        <f t="shared" si="2"/>
        <v>229179.6</v>
      </c>
      <c r="I29" s="28">
        <f t="shared" si="3"/>
        <v>1502399.6</v>
      </c>
      <c r="J29" s="21" t="s">
        <v>92</v>
      </c>
      <c r="K29" s="19" t="s">
        <v>25</v>
      </c>
      <c r="L29" s="17" t="s">
        <v>110</v>
      </c>
      <c r="M29" s="18">
        <v>45406</v>
      </c>
      <c r="N29" s="32">
        <v>1595602</v>
      </c>
      <c r="O29" s="23"/>
      <c r="P29" s="34" t="s">
        <v>84</v>
      </c>
      <c r="Q29" s="24" t="s">
        <v>37</v>
      </c>
      <c r="R29" s="31" t="s">
        <v>85</v>
      </c>
    </row>
    <row r="30" spans="1:19">
      <c r="A30" s="17">
        <v>24</v>
      </c>
      <c r="B30" s="17" t="s">
        <v>111</v>
      </c>
      <c r="C30" s="18">
        <v>45402</v>
      </c>
      <c r="D30" s="17" t="s">
        <v>112</v>
      </c>
      <c r="E30" s="17" t="s">
        <v>22</v>
      </c>
      <c r="F30" s="17" t="s">
        <v>113</v>
      </c>
      <c r="G30" s="28">
        <v>256200</v>
      </c>
      <c r="H30" s="28">
        <f t="shared" si="2"/>
        <v>46116</v>
      </c>
      <c r="I30" s="28">
        <f t="shared" si="3"/>
        <v>302316</v>
      </c>
      <c r="J30" s="21" t="s">
        <v>35</v>
      </c>
      <c r="K30" s="19" t="s">
        <v>25</v>
      </c>
      <c r="L30" s="22"/>
      <c r="M30" s="22"/>
      <c r="N30" s="22"/>
      <c r="O30" s="22"/>
      <c r="P30" s="34" t="s">
        <v>114</v>
      </c>
      <c r="Q30" s="24" t="s">
        <v>37</v>
      </c>
      <c r="R30" s="31" t="s">
        <v>85</v>
      </c>
    </row>
    <row r="31" spans="1:19">
      <c r="A31" s="17">
        <v>25</v>
      </c>
      <c r="B31" s="17" t="s">
        <v>115</v>
      </c>
      <c r="C31" s="18">
        <v>45402</v>
      </c>
      <c r="D31" s="17" t="s">
        <v>116</v>
      </c>
      <c r="E31" s="17" t="s">
        <v>22</v>
      </c>
      <c r="F31" s="17" t="s">
        <v>117</v>
      </c>
      <c r="G31" s="28">
        <v>68400</v>
      </c>
      <c r="H31" s="28">
        <f t="shared" si="2"/>
        <v>12312</v>
      </c>
      <c r="I31" s="28">
        <f t="shared" si="3"/>
        <v>80712</v>
      </c>
      <c r="J31" s="21" t="s">
        <v>35</v>
      </c>
      <c r="K31" s="19" t="s">
        <v>25</v>
      </c>
      <c r="L31" s="22"/>
      <c r="M31" s="22"/>
      <c r="N31" s="22"/>
      <c r="O31" s="22"/>
      <c r="P31" s="34" t="s">
        <v>84</v>
      </c>
      <c r="Q31" s="25" t="s">
        <v>28</v>
      </c>
      <c r="R31" s="31" t="s">
        <v>85</v>
      </c>
    </row>
    <row r="32" spans="1:19">
      <c r="A32" s="17">
        <v>26</v>
      </c>
      <c r="B32" s="17" t="s">
        <v>118</v>
      </c>
      <c r="C32" s="18">
        <v>45404</v>
      </c>
      <c r="D32" s="17" t="s">
        <v>49</v>
      </c>
      <c r="E32" s="17" t="s">
        <v>22</v>
      </c>
      <c r="F32" s="17" t="s">
        <v>50</v>
      </c>
      <c r="G32" s="28">
        <v>47909</v>
      </c>
      <c r="H32" s="28">
        <f t="shared" si="2"/>
        <v>8623.619999999999</v>
      </c>
      <c r="I32" s="28">
        <f t="shared" si="3"/>
        <v>56532.619999999995</v>
      </c>
      <c r="J32" s="21" t="s">
        <v>35</v>
      </c>
      <c r="K32" s="19" t="s">
        <v>25</v>
      </c>
      <c r="L32" s="22"/>
      <c r="M32" s="22"/>
      <c r="N32" s="22"/>
      <c r="O32" s="22"/>
      <c r="P32" s="34" t="s">
        <v>51</v>
      </c>
      <c r="Q32" s="24" t="s">
        <v>37</v>
      </c>
      <c r="R32" s="31" t="s">
        <v>85</v>
      </c>
      <c r="S32" s="36" t="s">
        <v>119</v>
      </c>
    </row>
    <row r="33" spans="1:19">
      <c r="A33" s="17">
        <v>27</v>
      </c>
      <c r="B33" s="17" t="s">
        <v>120</v>
      </c>
      <c r="C33" s="18">
        <v>45404</v>
      </c>
      <c r="D33" s="17" t="s">
        <v>53</v>
      </c>
      <c r="E33" s="17" t="s">
        <v>22</v>
      </c>
      <c r="F33" s="17" t="s">
        <v>54</v>
      </c>
      <c r="G33" s="28">
        <v>21805</v>
      </c>
      <c r="H33" s="28">
        <f t="shared" si="2"/>
        <v>3924.8999999999996</v>
      </c>
      <c r="I33" s="28">
        <f t="shared" si="3"/>
        <v>25729.9</v>
      </c>
      <c r="J33" s="21" t="s">
        <v>35</v>
      </c>
      <c r="K33" s="19" t="s">
        <v>25</v>
      </c>
      <c r="L33" s="22"/>
      <c r="M33" s="22"/>
      <c r="N33" s="22"/>
      <c r="O33" s="22"/>
      <c r="P33" s="34" t="s">
        <v>51</v>
      </c>
      <c r="Q33" s="24" t="s">
        <v>37</v>
      </c>
      <c r="R33" s="31" t="s">
        <v>85</v>
      </c>
    </row>
    <row r="34" spans="1:19">
      <c r="A34" s="17">
        <v>28</v>
      </c>
      <c r="B34" s="17" t="s">
        <v>121</v>
      </c>
      <c r="C34" s="18">
        <v>45404</v>
      </c>
      <c r="D34" s="17" t="s">
        <v>62</v>
      </c>
      <c r="E34" s="17" t="s">
        <v>22</v>
      </c>
      <c r="F34" s="17" t="s">
        <v>63</v>
      </c>
      <c r="G34" s="28">
        <v>4260</v>
      </c>
      <c r="H34" s="28">
        <f t="shared" si="2"/>
        <v>766.8</v>
      </c>
      <c r="I34" s="28">
        <f t="shared" si="3"/>
        <v>5026.8</v>
      </c>
      <c r="J34" s="21" t="s">
        <v>35</v>
      </c>
      <c r="K34" s="19" t="s">
        <v>25</v>
      </c>
      <c r="L34" s="17"/>
      <c r="M34" s="18"/>
      <c r="N34" s="32"/>
      <c r="O34" s="22"/>
      <c r="P34" s="34" t="s">
        <v>51</v>
      </c>
      <c r="Q34" s="25" t="s">
        <v>28</v>
      </c>
      <c r="R34" s="31" t="s">
        <v>85</v>
      </c>
    </row>
    <row r="35" spans="1:19">
      <c r="A35" s="17">
        <v>29</v>
      </c>
      <c r="B35" s="17" t="s">
        <v>122</v>
      </c>
      <c r="C35" s="18">
        <v>45404</v>
      </c>
      <c r="D35" s="17" t="s">
        <v>90</v>
      </c>
      <c r="E35" s="17" t="s">
        <v>22</v>
      </c>
      <c r="F35" s="17" t="s">
        <v>123</v>
      </c>
      <c r="G35" s="28">
        <v>1079287</v>
      </c>
      <c r="H35" s="28">
        <f t="shared" si="2"/>
        <v>194271.66</v>
      </c>
      <c r="I35" s="28">
        <f t="shared" si="3"/>
        <v>1273558.6599999999</v>
      </c>
      <c r="J35" s="21" t="s">
        <v>92</v>
      </c>
      <c r="K35" s="19" t="s">
        <v>25</v>
      </c>
      <c r="L35" s="17" t="s">
        <v>124</v>
      </c>
      <c r="M35" s="18">
        <v>45411</v>
      </c>
      <c r="N35" s="32">
        <v>1277392</v>
      </c>
      <c r="O35" s="23"/>
      <c r="P35" s="34" t="s">
        <v>84</v>
      </c>
      <c r="Q35" s="24" t="s">
        <v>37</v>
      </c>
      <c r="R35" s="31" t="s">
        <v>85</v>
      </c>
    </row>
    <row r="36" spans="1:19">
      <c r="A36" s="17">
        <v>30</v>
      </c>
      <c r="B36" s="17" t="s">
        <v>125</v>
      </c>
      <c r="C36" s="18">
        <v>45404</v>
      </c>
      <c r="D36" s="17" t="s">
        <v>126</v>
      </c>
      <c r="E36" s="17" t="s">
        <v>22</v>
      </c>
      <c r="F36" s="17" t="s">
        <v>127</v>
      </c>
      <c r="G36" s="28">
        <v>226665</v>
      </c>
      <c r="H36" s="28">
        <f t="shared" si="2"/>
        <v>40799.699999999997</v>
      </c>
      <c r="I36" s="28">
        <f t="shared" si="3"/>
        <v>267464.7</v>
      </c>
      <c r="J36" s="21" t="s">
        <v>35</v>
      </c>
      <c r="K36" s="19" t="s">
        <v>25</v>
      </c>
      <c r="L36" s="22"/>
      <c r="M36" s="22"/>
      <c r="N36" s="22"/>
      <c r="O36" s="22"/>
      <c r="P36" s="34" t="s">
        <v>36</v>
      </c>
      <c r="Q36" s="25" t="s">
        <v>28</v>
      </c>
      <c r="R36" s="33" t="s">
        <v>38</v>
      </c>
    </row>
    <row r="37" spans="1:19">
      <c r="A37" s="17">
        <v>31</v>
      </c>
      <c r="B37" s="17" t="s">
        <v>128</v>
      </c>
      <c r="C37" s="18">
        <v>45405</v>
      </c>
      <c r="D37" s="17" t="s">
        <v>129</v>
      </c>
      <c r="E37" s="17" t="s">
        <v>22</v>
      </c>
      <c r="F37" s="17" t="s">
        <v>130</v>
      </c>
      <c r="G37" s="28">
        <v>783600</v>
      </c>
      <c r="H37" s="28">
        <f t="shared" si="2"/>
        <v>141048</v>
      </c>
      <c r="I37" s="28">
        <f t="shared" si="3"/>
        <v>924648</v>
      </c>
      <c r="J37" s="21" t="s">
        <v>131</v>
      </c>
      <c r="K37" s="19" t="s">
        <v>25</v>
      </c>
      <c r="L37" s="22"/>
      <c r="M37" s="22"/>
      <c r="N37" s="22"/>
      <c r="O37" s="23"/>
      <c r="P37" s="34" t="s">
        <v>51</v>
      </c>
      <c r="Q37" s="24" t="s">
        <v>37</v>
      </c>
      <c r="R37" s="31" t="s">
        <v>85</v>
      </c>
      <c r="S37" s="37" t="s">
        <v>132</v>
      </c>
    </row>
    <row r="38" spans="1:19">
      <c r="A38" s="17">
        <v>32</v>
      </c>
      <c r="B38" s="17" t="s">
        <v>133</v>
      </c>
      <c r="C38" s="18">
        <v>45405</v>
      </c>
      <c r="D38" s="17" t="s">
        <v>134</v>
      </c>
      <c r="E38" s="17" t="s">
        <v>22</v>
      </c>
      <c r="F38" s="17" t="s">
        <v>135</v>
      </c>
      <c r="G38" s="28">
        <v>127425</v>
      </c>
      <c r="H38" s="28">
        <f t="shared" si="2"/>
        <v>22936.5</v>
      </c>
      <c r="I38" s="28">
        <f t="shared" si="3"/>
        <v>150361.5</v>
      </c>
      <c r="J38" s="21" t="s">
        <v>35</v>
      </c>
      <c r="K38" s="17" t="s">
        <v>25</v>
      </c>
      <c r="L38" s="17" t="s">
        <v>136</v>
      </c>
      <c r="M38" s="18">
        <v>45440</v>
      </c>
      <c r="N38" s="32">
        <v>154800</v>
      </c>
      <c r="O38" s="23"/>
      <c r="P38" s="34" t="s">
        <v>137</v>
      </c>
      <c r="Q38" s="24" t="s">
        <v>37</v>
      </c>
      <c r="R38" s="31"/>
    </row>
    <row r="39" spans="1:19">
      <c r="A39" s="17">
        <v>33</v>
      </c>
      <c r="B39" s="17" t="s">
        <v>138</v>
      </c>
      <c r="C39" s="18">
        <v>45406</v>
      </c>
      <c r="D39" s="17" t="s">
        <v>62</v>
      </c>
      <c r="E39" s="17" t="s">
        <v>22</v>
      </c>
      <c r="F39" s="17" t="s">
        <v>63</v>
      </c>
      <c r="G39" s="28">
        <v>55792</v>
      </c>
      <c r="H39" s="28">
        <f t="shared" si="2"/>
        <v>10042.56</v>
      </c>
      <c r="I39" s="28">
        <f t="shared" si="3"/>
        <v>65834.559999999998</v>
      </c>
      <c r="J39" s="21" t="s">
        <v>35</v>
      </c>
      <c r="K39" s="19" t="s">
        <v>25</v>
      </c>
      <c r="L39" s="22"/>
      <c r="M39" s="22"/>
      <c r="N39" s="22"/>
      <c r="O39" s="23"/>
      <c r="P39" s="34" t="s">
        <v>84</v>
      </c>
      <c r="Q39" s="25" t="s">
        <v>28</v>
      </c>
      <c r="R39" s="31" t="s">
        <v>85</v>
      </c>
    </row>
    <row r="40" spans="1:19">
      <c r="A40" s="17">
        <v>34</v>
      </c>
      <c r="B40" s="17" t="s">
        <v>139</v>
      </c>
      <c r="C40" s="18">
        <v>45407</v>
      </c>
      <c r="D40" s="17" t="s">
        <v>49</v>
      </c>
      <c r="E40" s="17" t="s">
        <v>22</v>
      </c>
      <c r="F40" s="17" t="s">
        <v>50</v>
      </c>
      <c r="G40" s="28">
        <v>118503.72</v>
      </c>
      <c r="H40" s="28">
        <f t="shared" si="2"/>
        <v>21330.669600000001</v>
      </c>
      <c r="I40" s="28">
        <f t="shared" si="3"/>
        <v>139834.38959999999</v>
      </c>
      <c r="J40" s="21" t="s">
        <v>35</v>
      </c>
      <c r="K40" s="19" t="s">
        <v>25</v>
      </c>
      <c r="L40" s="22"/>
      <c r="M40" s="22"/>
      <c r="N40" s="22"/>
      <c r="O40" s="22"/>
      <c r="P40" s="34" t="s">
        <v>84</v>
      </c>
      <c r="Q40" s="24" t="s">
        <v>37</v>
      </c>
      <c r="R40" s="17"/>
    </row>
    <row r="41" spans="1:19">
      <c r="A41" s="17">
        <v>35</v>
      </c>
      <c r="B41" s="17" t="s">
        <v>140</v>
      </c>
      <c r="C41" s="18">
        <v>45407</v>
      </c>
      <c r="D41" s="17" t="s">
        <v>70</v>
      </c>
      <c r="E41" s="17" t="s">
        <v>22</v>
      </c>
      <c r="F41" s="17" t="s">
        <v>141</v>
      </c>
      <c r="G41" s="28">
        <v>32700</v>
      </c>
      <c r="H41" s="28">
        <f t="shared" si="2"/>
        <v>5886</v>
      </c>
      <c r="I41" s="28">
        <f t="shared" si="3"/>
        <v>38586</v>
      </c>
      <c r="J41" s="21" t="s">
        <v>35</v>
      </c>
      <c r="K41" s="19" t="s">
        <v>25</v>
      </c>
      <c r="L41" s="17"/>
      <c r="M41" s="18"/>
      <c r="N41" s="32"/>
      <c r="O41" s="23"/>
      <c r="P41" s="34" t="s">
        <v>84</v>
      </c>
      <c r="Q41" s="24" t="s">
        <v>37</v>
      </c>
      <c r="R41" s="31"/>
      <c r="S41" s="37"/>
    </row>
    <row r="42" spans="1:19">
      <c r="A42" s="17">
        <v>36</v>
      </c>
      <c r="B42" s="17" t="s">
        <v>142</v>
      </c>
      <c r="C42" s="18">
        <v>45407</v>
      </c>
      <c r="D42" s="17" t="s">
        <v>143</v>
      </c>
      <c r="E42" s="17" t="s">
        <v>22</v>
      </c>
      <c r="F42" s="17" t="s">
        <v>144</v>
      </c>
      <c r="G42" s="28">
        <v>5700</v>
      </c>
      <c r="H42" s="28">
        <f t="shared" si="2"/>
        <v>1026</v>
      </c>
      <c r="I42" s="28">
        <f t="shared" si="3"/>
        <v>6726</v>
      </c>
      <c r="J42" s="21" t="s">
        <v>24</v>
      </c>
      <c r="K42" s="19" t="s">
        <v>25</v>
      </c>
      <c r="L42" s="22"/>
      <c r="M42" s="22"/>
      <c r="N42" s="22"/>
      <c r="O42" s="23"/>
      <c r="P42" s="34"/>
      <c r="Q42" s="25" t="s">
        <v>28</v>
      </c>
      <c r="R42" s="31" t="s">
        <v>145</v>
      </c>
      <c r="S42" s="37"/>
    </row>
    <row r="43" spans="1:19">
      <c r="A43" s="17">
        <v>37</v>
      </c>
      <c r="B43" s="17" t="s">
        <v>146</v>
      </c>
      <c r="C43" s="18">
        <v>45408</v>
      </c>
      <c r="D43" s="17" t="s">
        <v>126</v>
      </c>
      <c r="E43" s="17" t="s">
        <v>22</v>
      </c>
      <c r="F43" s="17" t="s">
        <v>147</v>
      </c>
      <c r="G43" s="28">
        <v>450000</v>
      </c>
      <c r="H43" s="28">
        <f t="shared" si="2"/>
        <v>81000</v>
      </c>
      <c r="I43" s="28">
        <f t="shared" si="3"/>
        <v>531000</v>
      </c>
      <c r="J43" s="21" t="s">
        <v>35</v>
      </c>
      <c r="K43" s="19" t="s">
        <v>25</v>
      </c>
      <c r="L43" s="22"/>
      <c r="M43" s="22"/>
      <c r="N43" s="22"/>
      <c r="O43" s="23"/>
      <c r="P43" s="34" t="s">
        <v>84</v>
      </c>
      <c r="Q43" s="25" t="s">
        <v>28</v>
      </c>
      <c r="R43" s="26" t="s">
        <v>85</v>
      </c>
    </row>
    <row r="44" spans="1:19">
      <c r="A44" s="17">
        <v>38</v>
      </c>
      <c r="B44" s="17" t="s">
        <v>148</v>
      </c>
      <c r="C44" s="18">
        <v>45408</v>
      </c>
      <c r="D44" s="17" t="s">
        <v>62</v>
      </c>
      <c r="E44" s="17" t="s">
        <v>22</v>
      </c>
      <c r="F44" s="17" t="s">
        <v>63</v>
      </c>
      <c r="G44" s="28">
        <v>109642.2</v>
      </c>
      <c r="H44" s="28">
        <f t="shared" si="2"/>
        <v>19735.595999999998</v>
      </c>
      <c r="I44" s="28">
        <f t="shared" si="3"/>
        <v>129377.796</v>
      </c>
      <c r="J44" s="21" t="s">
        <v>35</v>
      </c>
      <c r="K44" s="19" t="s">
        <v>25</v>
      </c>
      <c r="L44" s="22"/>
      <c r="M44" s="22"/>
      <c r="N44" s="22"/>
      <c r="O44" s="22"/>
      <c r="P44" s="34" t="s">
        <v>84</v>
      </c>
      <c r="Q44" s="25" t="s">
        <v>28</v>
      </c>
      <c r="R44" s="17"/>
    </row>
    <row r="45" spans="1:19">
      <c r="A45" s="17">
        <v>39</v>
      </c>
      <c r="B45" s="17" t="s">
        <v>149</v>
      </c>
      <c r="C45" s="18">
        <v>45412</v>
      </c>
      <c r="D45" s="17" t="s">
        <v>100</v>
      </c>
      <c r="E45" s="17" t="s">
        <v>22</v>
      </c>
      <c r="F45" s="17" t="s">
        <v>150</v>
      </c>
      <c r="G45" s="28">
        <v>5100</v>
      </c>
      <c r="H45" s="28">
        <f t="shared" si="2"/>
        <v>918</v>
      </c>
      <c r="I45" s="28">
        <f t="shared" si="3"/>
        <v>6018</v>
      </c>
      <c r="J45" s="21" t="s">
        <v>35</v>
      </c>
      <c r="K45" s="19" t="s">
        <v>25</v>
      </c>
      <c r="L45" s="22"/>
      <c r="M45" s="22"/>
      <c r="N45" s="22"/>
      <c r="O45" s="33"/>
      <c r="P45" s="34" t="s">
        <v>84</v>
      </c>
      <c r="Q45" s="25" t="s">
        <v>28</v>
      </c>
      <c r="R45" s="17"/>
      <c r="S45" s="38"/>
    </row>
    <row r="46" spans="1:19">
      <c r="A46" s="17">
        <v>40</v>
      </c>
      <c r="B46" s="17" t="s">
        <v>151</v>
      </c>
      <c r="C46" s="18">
        <v>45412</v>
      </c>
      <c r="D46" s="17" t="s">
        <v>62</v>
      </c>
      <c r="E46" s="17" t="s">
        <v>22</v>
      </c>
      <c r="F46" s="17" t="s">
        <v>63</v>
      </c>
      <c r="G46" s="28">
        <v>113280</v>
      </c>
      <c r="H46" s="28">
        <f>10009.3*2</f>
        <v>20018.599999999999</v>
      </c>
      <c r="I46" s="28">
        <f t="shared" si="3"/>
        <v>133298.6</v>
      </c>
      <c r="J46" s="21" t="s">
        <v>35</v>
      </c>
      <c r="K46" s="17" t="s">
        <v>25</v>
      </c>
      <c r="L46" s="22"/>
      <c r="M46" s="22"/>
      <c r="N46" s="22"/>
      <c r="O46" s="33"/>
      <c r="P46" s="34" t="s">
        <v>84</v>
      </c>
      <c r="Q46" s="25" t="s">
        <v>28</v>
      </c>
      <c r="R46" s="17"/>
      <c r="S46" s="39"/>
    </row>
    <row r="47" spans="1:19">
      <c r="A47" s="17">
        <v>41</v>
      </c>
      <c r="B47" s="17" t="s">
        <v>152</v>
      </c>
      <c r="C47" s="18">
        <v>45412</v>
      </c>
      <c r="D47" s="17" t="s">
        <v>153</v>
      </c>
      <c r="E47" s="17" t="s">
        <v>22</v>
      </c>
      <c r="F47" s="17" t="s">
        <v>154</v>
      </c>
      <c r="G47" s="28">
        <v>93896</v>
      </c>
      <c r="H47" s="28">
        <f t="shared" si="2"/>
        <v>16901.28</v>
      </c>
      <c r="I47" s="28">
        <f t="shared" si="3"/>
        <v>110797.28</v>
      </c>
      <c r="J47" s="21" t="s">
        <v>24</v>
      </c>
      <c r="K47" s="19" t="s">
        <v>25</v>
      </c>
      <c r="L47" s="22"/>
      <c r="M47" s="22"/>
      <c r="N47" s="22"/>
      <c r="O47" s="23"/>
      <c r="P47" s="34" t="s">
        <v>84</v>
      </c>
      <c r="Q47" s="25" t="s">
        <v>28</v>
      </c>
      <c r="R47" s="26" t="s">
        <v>85</v>
      </c>
      <c r="S47" s="37"/>
    </row>
    <row r="48" spans="1:19">
      <c r="A48" s="17">
        <v>42</v>
      </c>
      <c r="B48" s="17" t="s">
        <v>155</v>
      </c>
      <c r="C48" s="18">
        <v>45412</v>
      </c>
      <c r="D48" s="17" t="s">
        <v>156</v>
      </c>
      <c r="E48" s="17" t="s">
        <v>157</v>
      </c>
      <c r="F48" s="17" t="s">
        <v>158</v>
      </c>
      <c r="G48" s="28">
        <v>474304</v>
      </c>
      <c r="H48" s="28">
        <f t="shared" si="2"/>
        <v>85374.720000000001</v>
      </c>
      <c r="I48" s="28">
        <f t="shared" si="3"/>
        <v>559678.71999999997</v>
      </c>
      <c r="J48" s="21" t="s">
        <v>35</v>
      </c>
      <c r="K48" s="19" t="s">
        <v>25</v>
      </c>
      <c r="L48" s="22"/>
      <c r="M48" s="22"/>
      <c r="N48" s="22"/>
      <c r="O48" s="23"/>
      <c r="P48" s="34" t="s">
        <v>36</v>
      </c>
      <c r="Q48" s="24" t="s">
        <v>37</v>
      </c>
      <c r="R48" s="31" t="s">
        <v>85</v>
      </c>
    </row>
    <row r="49" spans="1:18">
      <c r="A49" s="17">
        <v>43</v>
      </c>
      <c r="B49" s="17" t="s">
        <v>159</v>
      </c>
      <c r="C49" s="18">
        <v>45412</v>
      </c>
      <c r="D49" s="17" t="s">
        <v>160</v>
      </c>
      <c r="E49" s="17" t="s">
        <v>22</v>
      </c>
      <c r="F49" s="17" t="s">
        <v>161</v>
      </c>
      <c r="G49" s="28">
        <v>13250</v>
      </c>
      <c r="H49" s="28">
        <f t="shared" si="2"/>
        <v>2385</v>
      </c>
      <c r="I49" s="28">
        <f t="shared" si="3"/>
        <v>15635</v>
      </c>
      <c r="J49" s="21" t="s">
        <v>35</v>
      </c>
      <c r="K49" s="19" t="s">
        <v>25</v>
      </c>
      <c r="L49" s="19"/>
      <c r="M49" s="18"/>
      <c r="N49" s="40"/>
      <c r="O49" s="22"/>
      <c r="P49" s="34" t="s">
        <v>51</v>
      </c>
      <c r="Q49" s="24" t="s">
        <v>37</v>
      </c>
      <c r="R49" s="31" t="s">
        <v>85</v>
      </c>
    </row>
    <row r="50" spans="1:18">
      <c r="A50" s="17">
        <v>44</v>
      </c>
      <c r="B50" s="17" t="s">
        <v>162</v>
      </c>
      <c r="C50" s="18">
        <v>45412</v>
      </c>
      <c r="D50" s="17" t="s">
        <v>163</v>
      </c>
      <c r="E50" s="17" t="s">
        <v>22</v>
      </c>
      <c r="F50" s="17" t="s">
        <v>164</v>
      </c>
      <c r="G50" s="28">
        <v>4050</v>
      </c>
      <c r="H50" s="28">
        <f t="shared" si="2"/>
        <v>729</v>
      </c>
      <c r="I50" s="28">
        <f t="shared" si="3"/>
        <v>4779</v>
      </c>
      <c r="J50" s="21" t="s">
        <v>35</v>
      </c>
      <c r="K50" s="19" t="s">
        <v>25</v>
      </c>
      <c r="L50" s="19"/>
      <c r="M50" s="18"/>
      <c r="N50" s="40"/>
      <c r="O50" s="22"/>
      <c r="P50" s="34" t="s">
        <v>51</v>
      </c>
      <c r="Q50" s="25" t="s">
        <v>28</v>
      </c>
      <c r="R50" s="17"/>
    </row>
    <row r="51" spans="1:18">
      <c r="A51" s="17">
        <v>45</v>
      </c>
      <c r="B51" s="17" t="s">
        <v>165</v>
      </c>
      <c r="C51" s="18">
        <v>45412</v>
      </c>
      <c r="D51" s="17" t="s">
        <v>166</v>
      </c>
      <c r="E51" s="17" t="s">
        <v>22</v>
      </c>
      <c r="F51" s="17" t="s">
        <v>167</v>
      </c>
      <c r="G51" s="28">
        <v>95000</v>
      </c>
      <c r="H51" s="28">
        <f t="shared" si="2"/>
        <v>17100</v>
      </c>
      <c r="I51" s="28">
        <f t="shared" si="3"/>
        <v>112100</v>
      </c>
      <c r="J51" s="21" t="s">
        <v>35</v>
      </c>
      <c r="K51" s="19" t="s">
        <v>25</v>
      </c>
      <c r="L51" s="22"/>
      <c r="M51" s="22"/>
      <c r="N51" s="22"/>
      <c r="O51" s="22"/>
      <c r="P51" s="34" t="s">
        <v>84</v>
      </c>
      <c r="Q51" s="24" t="s">
        <v>37</v>
      </c>
      <c r="R51" s="17"/>
    </row>
    <row r="52" spans="1:18">
      <c r="A52" s="17">
        <v>46</v>
      </c>
      <c r="B52" s="17" t="s">
        <v>168</v>
      </c>
      <c r="C52" s="18">
        <v>45415</v>
      </c>
      <c r="D52" s="17" t="s">
        <v>169</v>
      </c>
      <c r="E52" s="17" t="s">
        <v>22</v>
      </c>
      <c r="F52" s="17" t="s">
        <v>170</v>
      </c>
      <c r="G52" s="28">
        <v>49058</v>
      </c>
      <c r="H52" s="28">
        <f t="shared" si="2"/>
        <v>8830.44</v>
      </c>
      <c r="I52" s="28">
        <f t="shared" si="3"/>
        <v>57888.44</v>
      </c>
      <c r="J52" s="21" t="s">
        <v>24</v>
      </c>
      <c r="K52" s="19" t="s">
        <v>25</v>
      </c>
      <c r="L52" s="19"/>
      <c r="M52" s="18"/>
      <c r="N52" s="32"/>
      <c r="O52" s="33"/>
      <c r="P52" s="34" t="s">
        <v>51</v>
      </c>
      <c r="Q52" s="25" t="s">
        <v>28</v>
      </c>
      <c r="R52" s="17"/>
    </row>
    <row r="53" spans="1:18">
      <c r="A53" s="17">
        <v>47</v>
      </c>
      <c r="B53" s="17" t="s">
        <v>171</v>
      </c>
      <c r="C53" s="18">
        <v>45416</v>
      </c>
      <c r="D53" s="17" t="s">
        <v>172</v>
      </c>
      <c r="E53" s="17" t="s">
        <v>157</v>
      </c>
      <c r="F53" s="17" t="s">
        <v>173</v>
      </c>
      <c r="G53" s="28">
        <v>122200</v>
      </c>
      <c r="H53" s="28">
        <f>8430*2</f>
        <v>16860</v>
      </c>
      <c r="I53" s="28">
        <f t="shared" si="3"/>
        <v>139060</v>
      </c>
      <c r="J53" s="21" t="s">
        <v>35</v>
      </c>
      <c r="K53" s="19" t="s">
        <v>25</v>
      </c>
      <c r="L53" s="22"/>
      <c r="M53" s="22"/>
      <c r="N53" s="22"/>
      <c r="O53" s="23"/>
      <c r="P53" s="34" t="s">
        <v>84</v>
      </c>
      <c r="Q53" s="24" t="s">
        <v>37</v>
      </c>
      <c r="R53" s="31"/>
    </row>
    <row r="54" spans="1:18">
      <c r="A54" s="17">
        <v>48</v>
      </c>
      <c r="B54" s="17" t="s">
        <v>174</v>
      </c>
      <c r="C54" s="18">
        <v>45416</v>
      </c>
      <c r="D54" s="17" t="s">
        <v>175</v>
      </c>
      <c r="E54" s="17" t="s">
        <v>176</v>
      </c>
      <c r="F54" s="17" t="s">
        <v>177</v>
      </c>
      <c r="G54" s="28">
        <v>7000</v>
      </c>
      <c r="H54" s="28">
        <f t="shared" si="2"/>
        <v>1260</v>
      </c>
      <c r="I54" s="28">
        <f t="shared" si="3"/>
        <v>8260</v>
      </c>
      <c r="J54" s="21" t="s">
        <v>35</v>
      </c>
      <c r="K54" s="19" t="s">
        <v>25</v>
      </c>
      <c r="L54" s="22"/>
      <c r="M54" s="22"/>
      <c r="N54" s="22"/>
      <c r="O54" s="22"/>
      <c r="P54" s="34" t="s">
        <v>51</v>
      </c>
      <c r="Q54" s="24" t="s">
        <v>37</v>
      </c>
      <c r="R54" s="17"/>
    </row>
    <row r="55" spans="1:18">
      <c r="A55" s="17">
        <v>49</v>
      </c>
      <c r="B55" s="17" t="s">
        <v>178</v>
      </c>
      <c r="C55" s="18">
        <v>45422</v>
      </c>
      <c r="D55" s="17" t="s">
        <v>179</v>
      </c>
      <c r="E55" s="17" t="s">
        <v>180</v>
      </c>
      <c r="F55" s="17" t="s">
        <v>181</v>
      </c>
      <c r="G55" s="28">
        <v>570000</v>
      </c>
      <c r="H55" s="28">
        <f t="shared" si="2"/>
        <v>102600</v>
      </c>
      <c r="I55" s="28">
        <f t="shared" si="3"/>
        <v>672600</v>
      </c>
      <c r="J55" s="21" t="s">
        <v>92</v>
      </c>
      <c r="K55" s="19" t="s">
        <v>25</v>
      </c>
      <c r="L55" s="17" t="s">
        <v>182</v>
      </c>
      <c r="M55" s="18">
        <v>45652</v>
      </c>
      <c r="N55" s="32">
        <v>766448</v>
      </c>
      <c r="O55" s="22"/>
      <c r="P55" s="34" t="s">
        <v>51</v>
      </c>
      <c r="Q55" s="24" t="s">
        <v>37</v>
      </c>
      <c r="R55" s="17"/>
    </row>
    <row r="56" spans="1:18">
      <c r="A56" s="17">
        <v>50</v>
      </c>
      <c r="B56" s="17" t="s">
        <v>183</v>
      </c>
      <c r="C56" s="18">
        <v>45422</v>
      </c>
      <c r="D56" s="17" t="s">
        <v>95</v>
      </c>
      <c r="E56" s="17" t="s">
        <v>22</v>
      </c>
      <c r="F56" s="17" t="s">
        <v>96</v>
      </c>
      <c r="G56" s="28">
        <v>165459</v>
      </c>
      <c r="H56" s="28">
        <f t="shared" si="2"/>
        <v>29782.62</v>
      </c>
      <c r="I56" s="28">
        <f t="shared" si="3"/>
        <v>195241.62</v>
      </c>
      <c r="J56" s="21" t="s">
        <v>35</v>
      </c>
      <c r="K56" s="19" t="s">
        <v>25</v>
      </c>
      <c r="L56" s="22"/>
      <c r="M56" s="22"/>
      <c r="N56" s="22"/>
      <c r="O56" s="22"/>
      <c r="P56" s="34" t="s">
        <v>36</v>
      </c>
      <c r="Q56" s="24" t="s">
        <v>37</v>
      </c>
      <c r="R56" s="17"/>
    </row>
    <row r="57" spans="1:18">
      <c r="A57" s="17">
        <v>51</v>
      </c>
      <c r="B57" s="17" t="s">
        <v>184</v>
      </c>
      <c r="C57" s="18">
        <v>45422</v>
      </c>
      <c r="D57" s="17" t="s">
        <v>126</v>
      </c>
      <c r="E57" s="17" t="s">
        <v>22</v>
      </c>
      <c r="F57" s="17" t="s">
        <v>185</v>
      </c>
      <c r="G57" s="28">
        <v>96525</v>
      </c>
      <c r="H57" s="28">
        <f t="shared" si="2"/>
        <v>17374.5</v>
      </c>
      <c r="I57" s="28">
        <f t="shared" si="3"/>
        <v>113899.5</v>
      </c>
      <c r="J57" s="21" t="s">
        <v>35</v>
      </c>
      <c r="K57" s="19" t="s">
        <v>25</v>
      </c>
      <c r="L57" s="22"/>
      <c r="M57" s="22"/>
      <c r="N57" s="22"/>
      <c r="O57" s="22"/>
      <c r="P57" s="34" t="s">
        <v>84</v>
      </c>
      <c r="Q57" s="25" t="s">
        <v>28</v>
      </c>
      <c r="R57" s="31" t="s">
        <v>85</v>
      </c>
    </row>
    <row r="58" spans="1:18">
      <c r="A58" s="17">
        <v>52</v>
      </c>
      <c r="B58" s="17" t="s">
        <v>186</v>
      </c>
      <c r="C58" s="18">
        <v>45426</v>
      </c>
      <c r="D58" s="17" t="s">
        <v>187</v>
      </c>
      <c r="E58" s="17" t="s">
        <v>22</v>
      </c>
      <c r="F58" s="17" t="s">
        <v>188</v>
      </c>
      <c r="G58" s="28">
        <v>13650</v>
      </c>
      <c r="H58" s="28">
        <f t="shared" si="2"/>
        <v>2457</v>
      </c>
      <c r="I58" s="28">
        <f t="shared" si="3"/>
        <v>16107</v>
      </c>
      <c r="J58" s="21" t="s">
        <v>35</v>
      </c>
      <c r="K58" s="19" t="s">
        <v>25</v>
      </c>
      <c r="L58" s="22"/>
      <c r="M58" s="22"/>
      <c r="N58" s="22"/>
      <c r="O58" s="23"/>
      <c r="P58" s="34"/>
      <c r="Q58" s="24" t="s">
        <v>37</v>
      </c>
      <c r="R58" s="31" t="s">
        <v>189</v>
      </c>
    </row>
    <row r="59" spans="1:18">
      <c r="A59" s="17">
        <v>53</v>
      </c>
      <c r="B59" s="17" t="s">
        <v>190</v>
      </c>
      <c r="C59" s="18">
        <v>45430</v>
      </c>
      <c r="D59" s="17" t="s">
        <v>112</v>
      </c>
      <c r="E59" s="17" t="s">
        <v>22</v>
      </c>
      <c r="F59" s="17" t="s">
        <v>191</v>
      </c>
      <c r="G59" s="28">
        <v>123606</v>
      </c>
      <c r="H59" s="28">
        <f t="shared" si="2"/>
        <v>22249.079999999998</v>
      </c>
      <c r="I59" s="28">
        <f t="shared" si="3"/>
        <v>145855.07999999999</v>
      </c>
      <c r="J59" s="21" t="s">
        <v>35</v>
      </c>
      <c r="K59" s="19" t="s">
        <v>25</v>
      </c>
      <c r="L59" s="19"/>
      <c r="M59" s="18"/>
      <c r="N59" s="32"/>
      <c r="O59" s="22"/>
      <c r="P59" s="34" t="s">
        <v>114</v>
      </c>
      <c r="Q59" s="24" t="s">
        <v>37</v>
      </c>
      <c r="R59" s="17"/>
    </row>
    <row r="60" spans="1:18">
      <c r="A60" s="17">
        <v>54</v>
      </c>
      <c r="B60" s="17" t="s">
        <v>192</v>
      </c>
      <c r="C60" s="18">
        <v>45434</v>
      </c>
      <c r="D60" s="27" t="s">
        <v>193</v>
      </c>
      <c r="E60" s="27" t="s">
        <v>22</v>
      </c>
      <c r="F60" s="41" t="s">
        <v>194</v>
      </c>
      <c r="G60" s="20">
        <v>41798</v>
      </c>
      <c r="H60" s="20">
        <f>G60*28%</f>
        <v>11703.44</v>
      </c>
      <c r="I60" s="42">
        <f t="shared" si="3"/>
        <v>53501.440000000002</v>
      </c>
      <c r="J60" s="21" t="s">
        <v>24</v>
      </c>
      <c r="K60" s="19" t="s">
        <v>25</v>
      </c>
      <c r="L60" s="22"/>
      <c r="M60" s="22"/>
      <c r="N60" s="22"/>
      <c r="O60" s="23" t="s">
        <v>195</v>
      </c>
      <c r="P60" s="43" t="s">
        <v>27</v>
      </c>
      <c r="Q60" s="24" t="s">
        <v>37</v>
      </c>
      <c r="R60" s="31" t="s">
        <v>196</v>
      </c>
    </row>
    <row r="61" spans="1:18">
      <c r="A61" s="17">
        <v>55</v>
      </c>
      <c r="B61" s="17" t="s">
        <v>197</v>
      </c>
      <c r="C61" s="18">
        <v>45434</v>
      </c>
      <c r="D61" s="17" t="s">
        <v>198</v>
      </c>
      <c r="E61" s="17" t="s">
        <v>199</v>
      </c>
      <c r="F61" s="17" t="s">
        <v>200</v>
      </c>
      <c r="G61" s="28">
        <v>165892.5</v>
      </c>
      <c r="H61" s="28">
        <f t="shared" ref="H61:H68" si="4">G61*18%</f>
        <v>29860.649999999998</v>
      </c>
      <c r="I61" s="28">
        <f t="shared" si="3"/>
        <v>195753.15</v>
      </c>
      <c r="J61" s="21" t="s">
        <v>24</v>
      </c>
      <c r="K61" s="19" t="s">
        <v>25</v>
      </c>
      <c r="L61" s="17"/>
      <c r="M61" s="18"/>
      <c r="N61" s="32"/>
      <c r="O61" s="22"/>
      <c r="P61" s="34" t="s">
        <v>36</v>
      </c>
      <c r="Q61" s="25" t="s">
        <v>28</v>
      </c>
      <c r="R61" s="17"/>
    </row>
    <row r="62" spans="1:18">
      <c r="A62" s="17">
        <v>56</v>
      </c>
      <c r="B62" s="17" t="s">
        <v>201</v>
      </c>
      <c r="C62" s="18">
        <v>45440</v>
      </c>
      <c r="D62" s="17" t="s">
        <v>95</v>
      </c>
      <c r="E62" s="17" t="s">
        <v>22</v>
      </c>
      <c r="F62" s="17" t="s">
        <v>96</v>
      </c>
      <c r="G62" s="28">
        <v>286262</v>
      </c>
      <c r="H62" s="28">
        <f t="shared" si="4"/>
        <v>51527.159999999996</v>
      </c>
      <c r="I62" s="28">
        <f t="shared" si="3"/>
        <v>337789.16</v>
      </c>
      <c r="J62" s="21" t="s">
        <v>24</v>
      </c>
      <c r="K62" s="19" t="s">
        <v>25</v>
      </c>
      <c r="L62" s="22"/>
      <c r="M62" s="22"/>
      <c r="N62" s="22"/>
      <c r="O62" s="22"/>
      <c r="P62" s="34" t="s">
        <v>36</v>
      </c>
      <c r="Q62" s="24" t="s">
        <v>37</v>
      </c>
      <c r="R62" s="17"/>
    </row>
    <row r="63" spans="1:18">
      <c r="A63" s="17">
        <v>57</v>
      </c>
      <c r="B63" s="17" t="s">
        <v>202</v>
      </c>
      <c r="C63" s="18">
        <v>45442</v>
      </c>
      <c r="D63" s="17" t="s">
        <v>203</v>
      </c>
      <c r="E63" s="17" t="s">
        <v>22</v>
      </c>
      <c r="F63" s="17" t="s">
        <v>204</v>
      </c>
      <c r="G63" s="28">
        <v>20990.799999999999</v>
      </c>
      <c r="H63" s="28">
        <f t="shared" si="4"/>
        <v>3778.3439999999996</v>
      </c>
      <c r="I63" s="28">
        <f t="shared" si="3"/>
        <v>24769.144</v>
      </c>
      <c r="J63" s="21" t="s">
        <v>35</v>
      </c>
      <c r="K63" s="19" t="s">
        <v>25</v>
      </c>
      <c r="L63" s="22"/>
      <c r="M63" s="22"/>
      <c r="N63" s="22"/>
      <c r="O63" s="22"/>
      <c r="P63" s="34" t="s">
        <v>36</v>
      </c>
      <c r="Q63" s="24" t="s">
        <v>37</v>
      </c>
      <c r="R63" s="17"/>
    </row>
    <row r="64" spans="1:18">
      <c r="A64" s="17">
        <v>58</v>
      </c>
      <c r="B64" s="17" t="s">
        <v>205</v>
      </c>
      <c r="C64" s="18">
        <v>45442</v>
      </c>
      <c r="D64" s="17" t="s">
        <v>206</v>
      </c>
      <c r="E64" s="17" t="s">
        <v>22</v>
      </c>
      <c r="F64" s="17" t="s">
        <v>207</v>
      </c>
      <c r="G64" s="28">
        <v>21900</v>
      </c>
      <c r="H64" s="28">
        <f t="shared" si="4"/>
        <v>3942</v>
      </c>
      <c r="I64" s="28">
        <f t="shared" si="3"/>
        <v>25842</v>
      </c>
      <c r="J64" s="21" t="s">
        <v>35</v>
      </c>
      <c r="K64" s="19" t="s">
        <v>25</v>
      </c>
      <c r="L64" s="22"/>
      <c r="M64" s="22"/>
      <c r="N64" s="22"/>
      <c r="O64" s="23"/>
      <c r="P64" s="34" t="s">
        <v>36</v>
      </c>
      <c r="Q64" s="24" t="s">
        <v>37</v>
      </c>
      <c r="R64" s="26"/>
    </row>
    <row r="65" spans="1:18">
      <c r="A65" s="17">
        <v>59</v>
      </c>
      <c r="B65" s="17" t="s">
        <v>208</v>
      </c>
      <c r="C65" s="18">
        <v>45442</v>
      </c>
      <c r="D65" s="44" t="s">
        <v>209</v>
      </c>
      <c r="E65" s="44" t="s">
        <v>22</v>
      </c>
      <c r="F65" s="17" t="s">
        <v>210</v>
      </c>
      <c r="G65" s="28">
        <v>31112.5</v>
      </c>
      <c r="H65" s="28">
        <f t="shared" si="4"/>
        <v>5600.25</v>
      </c>
      <c r="I65" s="28">
        <f t="shared" si="3"/>
        <v>36712.75</v>
      </c>
      <c r="J65" s="21" t="s">
        <v>35</v>
      </c>
      <c r="K65" s="19" t="s">
        <v>25</v>
      </c>
      <c r="L65" s="22"/>
      <c r="M65" s="22"/>
      <c r="N65" s="22"/>
      <c r="O65" s="22"/>
      <c r="P65" s="34" t="s">
        <v>36</v>
      </c>
      <c r="Q65" s="24" t="s">
        <v>37</v>
      </c>
      <c r="R65" s="17"/>
    </row>
    <row r="66" spans="1:18">
      <c r="A66" s="17">
        <v>60</v>
      </c>
      <c r="B66" s="17" t="s">
        <v>211</v>
      </c>
      <c r="C66" s="18">
        <v>45447</v>
      </c>
      <c r="D66" s="17" t="s">
        <v>212</v>
      </c>
      <c r="E66" s="17" t="s">
        <v>22</v>
      </c>
      <c r="F66" s="17" t="s">
        <v>213</v>
      </c>
      <c r="G66" s="28">
        <v>176176</v>
      </c>
      <c r="H66" s="28">
        <f t="shared" si="4"/>
        <v>31711.68</v>
      </c>
      <c r="I66" s="28">
        <f t="shared" si="3"/>
        <v>207887.68</v>
      </c>
      <c r="J66" s="21" t="s">
        <v>24</v>
      </c>
      <c r="K66" s="19" t="s">
        <v>25</v>
      </c>
      <c r="L66" s="22"/>
      <c r="M66" s="22"/>
      <c r="N66" s="22"/>
      <c r="O66" s="22"/>
      <c r="P66" s="34" t="s">
        <v>36</v>
      </c>
      <c r="Q66" s="24" t="s">
        <v>37</v>
      </c>
      <c r="R66" s="17"/>
    </row>
    <row r="67" spans="1:18">
      <c r="A67" s="17">
        <v>61</v>
      </c>
      <c r="B67" s="17" t="s">
        <v>214</v>
      </c>
      <c r="C67" s="18">
        <v>45450</v>
      </c>
      <c r="D67" s="17" t="s">
        <v>21</v>
      </c>
      <c r="E67" s="17" t="s">
        <v>22</v>
      </c>
      <c r="F67" s="41" t="s">
        <v>215</v>
      </c>
      <c r="G67" s="28">
        <v>3700</v>
      </c>
      <c r="H67" s="28">
        <f t="shared" si="4"/>
        <v>666</v>
      </c>
      <c r="I67" s="28">
        <f t="shared" si="3"/>
        <v>4366</v>
      </c>
      <c r="J67" s="21" t="s">
        <v>24</v>
      </c>
      <c r="K67" s="17" t="s">
        <v>25</v>
      </c>
      <c r="L67" s="22"/>
      <c r="M67" s="22"/>
      <c r="N67" s="22"/>
      <c r="O67" s="23"/>
      <c r="P67" s="24" t="s">
        <v>216</v>
      </c>
      <c r="Q67" s="25" t="s">
        <v>28</v>
      </c>
      <c r="R67" s="31"/>
    </row>
    <row r="68" spans="1:18">
      <c r="A68" s="17">
        <v>62</v>
      </c>
      <c r="B68" s="17" t="s">
        <v>217</v>
      </c>
      <c r="C68" s="18">
        <v>45453</v>
      </c>
      <c r="D68" s="17" t="s">
        <v>218</v>
      </c>
      <c r="E68" s="17" t="s">
        <v>22</v>
      </c>
      <c r="F68" s="41" t="s">
        <v>215</v>
      </c>
      <c r="G68" s="28">
        <v>3800</v>
      </c>
      <c r="H68" s="28">
        <f t="shared" si="4"/>
        <v>684</v>
      </c>
      <c r="I68" s="28">
        <f t="shared" si="3"/>
        <v>4484</v>
      </c>
      <c r="J68" s="21" t="s">
        <v>24</v>
      </c>
      <c r="K68" s="17" t="s">
        <v>25</v>
      </c>
      <c r="L68" s="22"/>
      <c r="M68" s="22"/>
      <c r="N68" s="22"/>
      <c r="O68" s="22"/>
      <c r="P68" s="24" t="s">
        <v>216</v>
      </c>
      <c r="Q68" s="25" t="s">
        <v>28</v>
      </c>
      <c r="R68" s="45"/>
    </row>
    <row r="69" spans="1:18">
      <c r="A69" s="17">
        <v>63</v>
      </c>
      <c r="B69" s="17" t="s">
        <v>219</v>
      </c>
      <c r="C69" s="18">
        <v>45453</v>
      </c>
      <c r="D69" s="17" t="s">
        <v>220</v>
      </c>
      <c r="E69" s="17" t="s">
        <v>22</v>
      </c>
      <c r="F69" s="17" t="s">
        <v>221</v>
      </c>
      <c r="G69" s="28">
        <v>20000</v>
      </c>
      <c r="H69" s="28">
        <f>G69*28%</f>
        <v>5600.0000000000009</v>
      </c>
      <c r="I69" s="28">
        <f t="shared" si="3"/>
        <v>25600</v>
      </c>
      <c r="J69" s="21" t="s">
        <v>24</v>
      </c>
      <c r="K69" s="19" t="s">
        <v>25</v>
      </c>
      <c r="L69" s="19"/>
      <c r="M69" s="18"/>
      <c r="N69" s="32"/>
      <c r="O69" s="32"/>
      <c r="P69" s="34" t="s">
        <v>51</v>
      </c>
      <c r="Q69" s="24" t="s">
        <v>37</v>
      </c>
      <c r="R69" s="17"/>
    </row>
    <row r="70" spans="1:18">
      <c r="A70" s="17">
        <v>64</v>
      </c>
      <c r="B70" s="17" t="s">
        <v>222</v>
      </c>
      <c r="C70" s="18">
        <v>45455</v>
      </c>
      <c r="D70" s="17" t="s">
        <v>223</v>
      </c>
      <c r="E70" s="17" t="s">
        <v>224</v>
      </c>
      <c r="F70" s="17" t="s">
        <v>225</v>
      </c>
      <c r="G70" s="28">
        <v>160000</v>
      </c>
      <c r="H70" s="28">
        <f t="shared" ref="H70:H91" si="5">G70*18%</f>
        <v>28800</v>
      </c>
      <c r="I70" s="28">
        <f t="shared" si="3"/>
        <v>188800</v>
      </c>
      <c r="J70" s="21" t="s">
        <v>24</v>
      </c>
      <c r="K70" s="19" t="s">
        <v>25</v>
      </c>
      <c r="L70" s="22"/>
      <c r="M70" s="22"/>
      <c r="N70" s="22"/>
      <c r="O70" s="23" t="s">
        <v>42</v>
      </c>
      <c r="P70" s="34" t="s">
        <v>79</v>
      </c>
      <c r="Q70" s="25" t="s">
        <v>28</v>
      </c>
      <c r="R70" s="26" t="s">
        <v>226</v>
      </c>
    </row>
    <row r="71" spans="1:18">
      <c r="A71" s="17">
        <v>65</v>
      </c>
      <c r="B71" s="17" t="s">
        <v>227</v>
      </c>
      <c r="C71" s="18">
        <v>45456</v>
      </c>
      <c r="D71" s="17" t="s">
        <v>228</v>
      </c>
      <c r="E71" s="17" t="s">
        <v>22</v>
      </c>
      <c r="F71" s="17" t="s">
        <v>229</v>
      </c>
      <c r="G71" s="28">
        <v>31341</v>
      </c>
      <c r="H71" s="28">
        <f t="shared" si="5"/>
        <v>5641.38</v>
      </c>
      <c r="I71" s="28">
        <f t="shared" si="3"/>
        <v>36982.379999999997</v>
      </c>
      <c r="J71" s="21" t="s">
        <v>24</v>
      </c>
      <c r="K71" s="19" t="s">
        <v>25</v>
      </c>
      <c r="L71" s="22"/>
      <c r="M71" s="22"/>
      <c r="N71" s="22"/>
      <c r="O71" s="22"/>
      <c r="P71" s="34" t="s">
        <v>36</v>
      </c>
      <c r="Q71" s="25" t="s">
        <v>28</v>
      </c>
      <c r="R71" s="17"/>
    </row>
    <row r="72" spans="1:18">
      <c r="A72" s="17">
        <v>66</v>
      </c>
      <c r="B72" s="17" t="s">
        <v>230</v>
      </c>
      <c r="C72" s="18">
        <v>45458</v>
      </c>
      <c r="D72" s="17" t="s">
        <v>231</v>
      </c>
      <c r="E72" s="17" t="s">
        <v>22</v>
      </c>
      <c r="F72" s="17" t="s">
        <v>232</v>
      </c>
      <c r="G72" s="28">
        <v>247150</v>
      </c>
      <c r="H72" s="28">
        <f t="shared" si="5"/>
        <v>44487</v>
      </c>
      <c r="I72" s="28">
        <f t="shared" si="3"/>
        <v>291637</v>
      </c>
      <c r="J72" s="21" t="s">
        <v>24</v>
      </c>
      <c r="K72" s="19" t="s">
        <v>25</v>
      </c>
      <c r="L72" s="22"/>
      <c r="M72" s="22"/>
      <c r="N72" s="22"/>
      <c r="O72" s="23"/>
      <c r="P72" s="34" t="s">
        <v>36</v>
      </c>
      <c r="Q72" s="24" t="s">
        <v>37</v>
      </c>
      <c r="R72" s="26"/>
    </row>
    <row r="73" spans="1:18">
      <c r="A73" s="17">
        <v>67</v>
      </c>
      <c r="B73" s="17" t="s">
        <v>233</v>
      </c>
      <c r="C73" s="18">
        <v>45462</v>
      </c>
      <c r="D73" s="18" t="s">
        <v>134</v>
      </c>
      <c r="E73" s="18" t="s">
        <v>22</v>
      </c>
      <c r="F73" s="17" t="s">
        <v>234</v>
      </c>
      <c r="G73" s="28">
        <v>92400</v>
      </c>
      <c r="H73" s="28">
        <f t="shared" si="5"/>
        <v>16632</v>
      </c>
      <c r="I73" s="28">
        <f t="shared" si="3"/>
        <v>109032</v>
      </c>
      <c r="J73" s="21" t="s">
        <v>35</v>
      </c>
      <c r="K73" s="19" t="s">
        <v>25</v>
      </c>
      <c r="L73" s="17" t="s">
        <v>235</v>
      </c>
      <c r="M73" s="18">
        <v>45489</v>
      </c>
      <c r="N73" s="32">
        <v>110213</v>
      </c>
      <c r="O73" s="22"/>
      <c r="P73" s="34" t="s">
        <v>137</v>
      </c>
      <c r="Q73" s="24" t="s">
        <v>37</v>
      </c>
      <c r="R73" s="26"/>
    </row>
    <row r="74" spans="1:18">
      <c r="A74" s="17">
        <v>68</v>
      </c>
      <c r="B74" s="17" t="s">
        <v>236</v>
      </c>
      <c r="C74" s="18">
        <v>45463</v>
      </c>
      <c r="D74" s="17" t="s">
        <v>112</v>
      </c>
      <c r="E74" s="17" t="s">
        <v>22</v>
      </c>
      <c r="F74" s="17" t="s">
        <v>237</v>
      </c>
      <c r="G74" s="28">
        <v>5508.4</v>
      </c>
      <c r="H74" s="28">
        <f t="shared" si="5"/>
        <v>991.51199999999994</v>
      </c>
      <c r="I74" s="28">
        <f t="shared" si="3"/>
        <v>6499.9119999999994</v>
      </c>
      <c r="J74" s="21" t="s">
        <v>35</v>
      </c>
      <c r="K74" s="19" t="s">
        <v>25</v>
      </c>
      <c r="L74" s="17"/>
      <c r="M74" s="18"/>
      <c r="N74" s="32"/>
      <c r="O74" s="22"/>
      <c r="P74" s="34" t="s">
        <v>114</v>
      </c>
      <c r="Q74" s="24" t="s">
        <v>37</v>
      </c>
      <c r="R74" s="26"/>
    </row>
    <row r="75" spans="1:18">
      <c r="A75" s="17">
        <v>69</v>
      </c>
      <c r="B75" s="17" t="s">
        <v>238</v>
      </c>
      <c r="C75" s="18">
        <v>45467</v>
      </c>
      <c r="D75" s="17" t="s">
        <v>239</v>
      </c>
      <c r="E75" s="17" t="s">
        <v>22</v>
      </c>
      <c r="F75" s="17" t="s">
        <v>240</v>
      </c>
      <c r="G75" s="28">
        <v>37800</v>
      </c>
      <c r="H75" s="28">
        <f t="shared" si="5"/>
        <v>6804</v>
      </c>
      <c r="I75" s="28">
        <f t="shared" si="3"/>
        <v>44604</v>
      </c>
      <c r="J75" s="21" t="s">
        <v>35</v>
      </c>
      <c r="K75" s="19" t="s">
        <v>25</v>
      </c>
      <c r="L75" s="22"/>
      <c r="M75" s="22"/>
      <c r="N75" s="22"/>
      <c r="O75" s="22"/>
      <c r="P75" s="34" t="s">
        <v>137</v>
      </c>
      <c r="Q75" s="24" t="s">
        <v>37</v>
      </c>
      <c r="R75" s="17"/>
    </row>
    <row r="76" spans="1:18">
      <c r="A76" s="17">
        <v>70</v>
      </c>
      <c r="B76" s="17" t="s">
        <v>241</v>
      </c>
      <c r="C76" s="18">
        <v>45467</v>
      </c>
      <c r="D76" s="17" t="s">
        <v>242</v>
      </c>
      <c r="E76" s="17" t="s">
        <v>22</v>
      </c>
      <c r="F76" s="17" t="s">
        <v>243</v>
      </c>
      <c r="G76" s="28">
        <v>325650</v>
      </c>
      <c r="H76" s="28">
        <f t="shared" si="5"/>
        <v>58617</v>
      </c>
      <c r="I76" s="28">
        <f t="shared" si="3"/>
        <v>384267</v>
      </c>
      <c r="J76" s="21" t="s">
        <v>24</v>
      </c>
      <c r="K76" s="19" t="s">
        <v>25</v>
      </c>
      <c r="L76" s="22"/>
      <c r="M76" s="22"/>
      <c r="N76" s="22"/>
      <c r="O76" s="23"/>
      <c r="P76" s="34" t="s">
        <v>51</v>
      </c>
      <c r="Q76" s="25" t="s">
        <v>28</v>
      </c>
      <c r="R76" s="45"/>
    </row>
    <row r="77" spans="1:18" ht="14.25">
      <c r="A77" s="17">
        <v>71</v>
      </c>
      <c r="B77" s="17" t="s">
        <v>244</v>
      </c>
      <c r="C77" s="18">
        <v>45468</v>
      </c>
      <c r="D77" s="19" t="s">
        <v>245</v>
      </c>
      <c r="E77" s="17" t="s">
        <v>46</v>
      </c>
      <c r="F77" s="17" t="s">
        <v>246</v>
      </c>
      <c r="G77" s="28">
        <v>112864.67</v>
      </c>
      <c r="H77" s="28">
        <f t="shared" si="5"/>
        <v>20315.640599999999</v>
      </c>
      <c r="I77" s="28">
        <f t="shared" si="3"/>
        <v>133180.3106</v>
      </c>
      <c r="J77" s="21" t="s">
        <v>35</v>
      </c>
      <c r="K77" s="19" t="s">
        <v>25</v>
      </c>
      <c r="L77" s="22"/>
      <c r="M77" s="22"/>
      <c r="N77" s="22"/>
      <c r="O77" s="23" t="s">
        <v>42</v>
      </c>
      <c r="P77" s="34" t="s">
        <v>79</v>
      </c>
      <c r="Q77" s="24" t="s">
        <v>37</v>
      </c>
      <c r="R77" s="26" t="s">
        <v>247</v>
      </c>
    </row>
    <row r="78" spans="1:18">
      <c r="A78" s="17">
        <v>72</v>
      </c>
      <c r="B78" s="17" t="s">
        <v>248</v>
      </c>
      <c r="C78" s="18">
        <v>45468</v>
      </c>
      <c r="D78" s="17" t="s">
        <v>249</v>
      </c>
      <c r="E78" s="17" t="s">
        <v>22</v>
      </c>
      <c r="F78" s="17" t="s">
        <v>63</v>
      </c>
      <c r="G78" s="28">
        <v>20658.599999999999</v>
      </c>
      <c r="H78" s="28">
        <f t="shared" si="5"/>
        <v>3718.5479999999998</v>
      </c>
      <c r="I78" s="28">
        <f t="shared" si="3"/>
        <v>24377.147999999997</v>
      </c>
      <c r="J78" s="21" t="s">
        <v>35</v>
      </c>
      <c r="K78" s="19" t="s">
        <v>25</v>
      </c>
      <c r="L78" s="22"/>
      <c r="M78" s="22"/>
      <c r="N78" s="22"/>
      <c r="O78" s="23"/>
      <c r="P78" s="34" t="s">
        <v>51</v>
      </c>
      <c r="Q78" s="24" t="s">
        <v>37</v>
      </c>
      <c r="R78" s="26"/>
    </row>
    <row r="79" spans="1:18">
      <c r="A79" s="17">
        <v>73</v>
      </c>
      <c r="B79" s="17" t="s">
        <v>250</v>
      </c>
      <c r="C79" s="18">
        <v>45470</v>
      </c>
      <c r="D79" s="17" t="s">
        <v>251</v>
      </c>
      <c r="E79" s="17" t="s">
        <v>22</v>
      </c>
      <c r="F79" s="17" t="s">
        <v>252</v>
      </c>
      <c r="G79" s="28">
        <v>7450</v>
      </c>
      <c r="H79" s="28">
        <f t="shared" si="5"/>
        <v>1341</v>
      </c>
      <c r="I79" s="28">
        <f t="shared" si="3"/>
        <v>8791</v>
      </c>
      <c r="J79" s="21" t="s">
        <v>24</v>
      </c>
      <c r="K79" s="19" t="s">
        <v>25</v>
      </c>
      <c r="L79" s="22"/>
      <c r="M79" s="22"/>
      <c r="N79" s="22"/>
      <c r="O79" s="22"/>
      <c r="P79" s="34" t="s">
        <v>36</v>
      </c>
      <c r="Q79" s="25" t="s">
        <v>28</v>
      </c>
      <c r="R79" s="33"/>
    </row>
    <row r="80" spans="1:18">
      <c r="A80" s="17">
        <v>74</v>
      </c>
      <c r="B80" s="17" t="s">
        <v>253</v>
      </c>
      <c r="C80" s="18">
        <v>45470</v>
      </c>
      <c r="D80" s="17" t="s">
        <v>112</v>
      </c>
      <c r="E80" s="17" t="s">
        <v>22</v>
      </c>
      <c r="F80" s="17" t="s">
        <v>237</v>
      </c>
      <c r="G80" s="28">
        <v>16525</v>
      </c>
      <c r="H80" s="28">
        <f t="shared" si="5"/>
        <v>2974.5</v>
      </c>
      <c r="I80" s="28">
        <f t="shared" si="3"/>
        <v>19499.5</v>
      </c>
      <c r="J80" s="21" t="s">
        <v>35</v>
      </c>
      <c r="K80" s="19" t="s">
        <v>25</v>
      </c>
      <c r="L80" s="22"/>
      <c r="M80" s="22"/>
      <c r="N80" s="22"/>
      <c r="O80" s="22"/>
      <c r="P80" s="34" t="s">
        <v>114</v>
      </c>
      <c r="Q80" s="24" t="s">
        <v>37</v>
      </c>
      <c r="R80" s="33"/>
    </row>
    <row r="81" spans="1:18">
      <c r="A81" s="17">
        <v>75</v>
      </c>
      <c r="B81" s="17" t="s">
        <v>254</v>
      </c>
      <c r="C81" s="18">
        <v>45471</v>
      </c>
      <c r="D81" s="17" t="s">
        <v>255</v>
      </c>
      <c r="E81" s="17" t="s">
        <v>22</v>
      </c>
      <c r="F81" s="17" t="s">
        <v>256</v>
      </c>
      <c r="G81" s="28">
        <v>327000</v>
      </c>
      <c r="H81" s="28">
        <f t="shared" si="5"/>
        <v>58860</v>
      </c>
      <c r="I81" s="28">
        <f t="shared" ref="I81:I144" si="6">G81+H81</f>
        <v>385860</v>
      </c>
      <c r="J81" s="21" t="s">
        <v>35</v>
      </c>
      <c r="K81" s="19" t="s">
        <v>25</v>
      </c>
      <c r="L81" s="22"/>
      <c r="M81" s="22"/>
      <c r="N81" s="22"/>
      <c r="O81" s="22"/>
      <c r="P81" s="34" t="s">
        <v>36</v>
      </c>
      <c r="Q81" s="24" t="s">
        <v>37</v>
      </c>
      <c r="R81" s="33"/>
    </row>
    <row r="82" spans="1:18">
      <c r="A82" s="17">
        <v>76</v>
      </c>
      <c r="B82" s="17" t="s">
        <v>257</v>
      </c>
      <c r="C82" s="18">
        <v>45474</v>
      </c>
      <c r="D82" s="17" t="s">
        <v>258</v>
      </c>
      <c r="E82" s="17" t="s">
        <v>22</v>
      </c>
      <c r="F82" s="17" t="s">
        <v>259</v>
      </c>
      <c r="G82" s="20">
        <v>11500</v>
      </c>
      <c r="H82" s="20">
        <f t="shared" si="5"/>
        <v>2070</v>
      </c>
      <c r="I82" s="20">
        <f t="shared" si="6"/>
        <v>13570</v>
      </c>
      <c r="J82" s="21" t="s">
        <v>24</v>
      </c>
      <c r="K82" s="19" t="s">
        <v>25</v>
      </c>
      <c r="L82" s="22"/>
      <c r="M82" s="22"/>
      <c r="N82" s="22"/>
      <c r="O82" s="22"/>
      <c r="P82" s="34" t="s">
        <v>216</v>
      </c>
      <c r="Q82" s="25" t="s">
        <v>28</v>
      </c>
      <c r="R82" s="33"/>
    </row>
    <row r="83" spans="1:18" ht="14.25">
      <c r="A83" s="17">
        <v>77</v>
      </c>
      <c r="B83" s="17" t="s">
        <v>260</v>
      </c>
      <c r="C83" s="18">
        <v>45477</v>
      </c>
      <c r="D83" s="17" t="s">
        <v>261</v>
      </c>
      <c r="E83" s="17" t="s">
        <v>157</v>
      </c>
      <c r="F83" s="17" t="s">
        <v>262</v>
      </c>
      <c r="G83" s="28">
        <v>3416700</v>
      </c>
      <c r="H83" s="28">
        <f t="shared" si="5"/>
        <v>615006</v>
      </c>
      <c r="I83" s="28">
        <f t="shared" si="6"/>
        <v>4031706</v>
      </c>
      <c r="J83" s="21" t="s">
        <v>35</v>
      </c>
      <c r="K83" s="19" t="s">
        <v>25</v>
      </c>
      <c r="L83" s="22"/>
      <c r="M83" s="22"/>
      <c r="N83" s="22"/>
      <c r="O83" s="23" t="s">
        <v>263</v>
      </c>
      <c r="P83" s="34" t="s">
        <v>264</v>
      </c>
      <c r="Q83" s="24" t="s">
        <v>37</v>
      </c>
      <c r="R83" s="26" t="s">
        <v>265</v>
      </c>
    </row>
    <row r="84" spans="1:18">
      <c r="A84" s="17">
        <v>78</v>
      </c>
      <c r="B84" s="17" t="s">
        <v>266</v>
      </c>
      <c r="C84" s="18">
        <v>45477</v>
      </c>
      <c r="D84" s="17" t="s">
        <v>249</v>
      </c>
      <c r="E84" s="17" t="s">
        <v>22</v>
      </c>
      <c r="F84" s="17" t="s">
        <v>63</v>
      </c>
      <c r="G84" s="28">
        <v>6150</v>
      </c>
      <c r="H84" s="28">
        <f t="shared" si="5"/>
        <v>1107</v>
      </c>
      <c r="I84" s="28">
        <f t="shared" si="6"/>
        <v>7257</v>
      </c>
      <c r="J84" s="21" t="s">
        <v>35</v>
      </c>
      <c r="K84" s="19" t="s">
        <v>25</v>
      </c>
      <c r="L84" s="22"/>
      <c r="M84" s="22"/>
      <c r="N84" s="22"/>
      <c r="O84" s="22"/>
      <c r="P84" s="34" t="s">
        <v>51</v>
      </c>
      <c r="Q84" s="24" t="s">
        <v>37</v>
      </c>
      <c r="R84" s="33"/>
    </row>
    <row r="85" spans="1:18">
      <c r="A85" s="17">
        <v>79</v>
      </c>
      <c r="B85" s="17" t="s">
        <v>267</v>
      </c>
      <c r="C85" s="18">
        <v>45479</v>
      </c>
      <c r="D85" s="17" t="s">
        <v>268</v>
      </c>
      <c r="E85" s="17" t="s">
        <v>22</v>
      </c>
      <c r="F85" s="17" t="s">
        <v>269</v>
      </c>
      <c r="G85" s="28">
        <v>39600</v>
      </c>
      <c r="H85" s="28">
        <f t="shared" si="5"/>
        <v>7128</v>
      </c>
      <c r="I85" s="28">
        <f t="shared" si="6"/>
        <v>46728</v>
      </c>
      <c r="J85" s="21" t="s">
        <v>24</v>
      </c>
      <c r="K85" s="19" t="s">
        <v>25</v>
      </c>
      <c r="L85" s="22"/>
      <c r="M85" s="22"/>
      <c r="N85" s="22"/>
      <c r="O85" s="22"/>
      <c r="P85" s="34" t="s">
        <v>36</v>
      </c>
      <c r="Q85" s="24" t="s">
        <v>37</v>
      </c>
      <c r="R85" s="33"/>
    </row>
    <row r="86" spans="1:18">
      <c r="A86" s="46">
        <v>80</v>
      </c>
      <c r="B86" s="46" t="s">
        <v>270</v>
      </c>
      <c r="C86" s="47">
        <v>45481</v>
      </c>
      <c r="D86" s="46" t="s">
        <v>271</v>
      </c>
      <c r="E86" s="46"/>
      <c r="F86" s="46" t="s">
        <v>272</v>
      </c>
      <c r="G86" s="48"/>
      <c r="H86" s="48">
        <f t="shared" si="5"/>
        <v>0</v>
      </c>
      <c r="I86" s="48">
        <f t="shared" si="6"/>
        <v>0</v>
      </c>
      <c r="J86" s="49" t="s">
        <v>24</v>
      </c>
      <c r="K86" s="50" t="s">
        <v>25</v>
      </c>
      <c r="L86" s="51"/>
      <c r="M86" s="51"/>
      <c r="N86" s="51"/>
      <c r="O86" s="51"/>
      <c r="P86" s="34" t="s">
        <v>216</v>
      </c>
      <c r="Q86" s="25"/>
      <c r="R86" s="52" t="s">
        <v>273</v>
      </c>
    </row>
    <row r="87" spans="1:18" ht="14.25">
      <c r="A87" s="17">
        <v>81</v>
      </c>
      <c r="B87" s="17" t="s">
        <v>274</v>
      </c>
      <c r="C87" s="18">
        <v>45483</v>
      </c>
      <c r="D87" s="17" t="s">
        <v>218</v>
      </c>
      <c r="E87" s="17" t="s">
        <v>22</v>
      </c>
      <c r="F87" s="27" t="s">
        <v>275</v>
      </c>
      <c r="G87" s="28">
        <v>67000</v>
      </c>
      <c r="H87" s="28">
        <f t="shared" si="5"/>
        <v>12060</v>
      </c>
      <c r="I87" s="28">
        <f t="shared" si="6"/>
        <v>79060</v>
      </c>
      <c r="J87" s="21" t="s">
        <v>24</v>
      </c>
      <c r="K87" s="19" t="s">
        <v>25</v>
      </c>
      <c r="L87" s="22"/>
      <c r="M87" s="22"/>
      <c r="N87" s="22"/>
      <c r="O87" s="23" t="s">
        <v>195</v>
      </c>
      <c r="P87" s="34" t="s">
        <v>27</v>
      </c>
      <c r="Q87" s="25" t="s">
        <v>28</v>
      </c>
      <c r="R87" s="26" t="s">
        <v>276</v>
      </c>
    </row>
    <row r="88" spans="1:18" ht="14.25">
      <c r="A88" s="17">
        <v>82</v>
      </c>
      <c r="B88" s="17" t="s">
        <v>277</v>
      </c>
      <c r="C88" s="18">
        <v>45483</v>
      </c>
      <c r="D88" s="17" t="s">
        <v>278</v>
      </c>
      <c r="E88" s="17" t="s">
        <v>22</v>
      </c>
      <c r="F88" s="17" t="s">
        <v>279</v>
      </c>
      <c r="G88" s="28">
        <v>38550</v>
      </c>
      <c r="H88" s="28">
        <f t="shared" si="5"/>
        <v>6939</v>
      </c>
      <c r="I88" s="28">
        <f t="shared" si="6"/>
        <v>45489</v>
      </c>
      <c r="J88" s="21" t="s">
        <v>24</v>
      </c>
      <c r="K88" s="19" t="s">
        <v>25</v>
      </c>
      <c r="L88" s="22"/>
      <c r="M88" s="22"/>
      <c r="N88" s="22"/>
      <c r="O88" s="23" t="s">
        <v>195</v>
      </c>
      <c r="P88" s="34" t="s">
        <v>27</v>
      </c>
      <c r="Q88" s="25" t="s">
        <v>28</v>
      </c>
      <c r="R88" s="26" t="s">
        <v>276</v>
      </c>
    </row>
    <row r="89" spans="1:18">
      <c r="A89" s="17">
        <v>83</v>
      </c>
      <c r="B89" s="17" t="s">
        <v>280</v>
      </c>
      <c r="C89" s="18">
        <v>45483</v>
      </c>
      <c r="D89" s="17" t="s">
        <v>134</v>
      </c>
      <c r="E89" s="17" t="s">
        <v>22</v>
      </c>
      <c r="F89" s="17" t="s">
        <v>281</v>
      </c>
      <c r="G89" s="28">
        <v>30800</v>
      </c>
      <c r="H89" s="28">
        <f t="shared" si="5"/>
        <v>5544</v>
      </c>
      <c r="I89" s="28">
        <f t="shared" si="6"/>
        <v>36344</v>
      </c>
      <c r="J89" s="21" t="s">
        <v>35</v>
      </c>
      <c r="K89" s="19" t="s">
        <v>25</v>
      </c>
      <c r="L89" s="22"/>
      <c r="M89" s="22"/>
      <c r="N89" s="22"/>
      <c r="O89" s="22"/>
      <c r="P89" s="34" t="s">
        <v>137</v>
      </c>
      <c r="Q89" s="24" t="s">
        <v>37</v>
      </c>
      <c r="R89" s="33"/>
    </row>
    <row r="90" spans="1:18">
      <c r="A90" s="17">
        <v>84</v>
      </c>
      <c r="B90" s="17" t="s">
        <v>282</v>
      </c>
      <c r="C90" s="18">
        <v>45483</v>
      </c>
      <c r="D90" s="17" t="s">
        <v>283</v>
      </c>
      <c r="E90" s="17" t="s">
        <v>22</v>
      </c>
      <c r="F90" s="17" t="s">
        <v>284</v>
      </c>
      <c r="G90" s="28">
        <v>52500</v>
      </c>
      <c r="H90" s="28">
        <f t="shared" si="5"/>
        <v>9450</v>
      </c>
      <c r="I90" s="28">
        <f t="shared" si="6"/>
        <v>61950</v>
      </c>
      <c r="J90" s="21" t="s">
        <v>35</v>
      </c>
      <c r="K90" s="19" t="s">
        <v>25</v>
      </c>
      <c r="L90" s="22"/>
      <c r="M90" s="22"/>
      <c r="N90" s="22"/>
      <c r="O90" s="23"/>
      <c r="P90" s="34" t="s">
        <v>137</v>
      </c>
      <c r="Q90" s="24" t="s">
        <v>37</v>
      </c>
      <c r="R90" s="31"/>
    </row>
    <row r="91" spans="1:18">
      <c r="A91" s="17">
        <v>85</v>
      </c>
      <c r="B91" s="17" t="s">
        <v>285</v>
      </c>
      <c r="C91" s="18">
        <v>45483</v>
      </c>
      <c r="D91" s="17" t="s">
        <v>258</v>
      </c>
      <c r="E91" s="17" t="s">
        <v>22</v>
      </c>
      <c r="F91" s="17" t="s">
        <v>286</v>
      </c>
      <c r="G91" s="28">
        <v>5545</v>
      </c>
      <c r="H91" s="28">
        <f t="shared" si="5"/>
        <v>998.09999999999991</v>
      </c>
      <c r="I91" s="28">
        <f t="shared" si="6"/>
        <v>6543.1</v>
      </c>
      <c r="J91" s="21" t="s">
        <v>24</v>
      </c>
      <c r="K91" s="19" t="s">
        <v>25</v>
      </c>
      <c r="L91" s="22"/>
      <c r="M91" s="22"/>
      <c r="N91" s="22"/>
      <c r="O91" s="23"/>
      <c r="P91" s="34" t="s">
        <v>216</v>
      </c>
      <c r="Q91" s="25" t="s">
        <v>28</v>
      </c>
      <c r="R91" s="26"/>
    </row>
    <row r="92" spans="1:18">
      <c r="A92" s="17">
        <v>86</v>
      </c>
      <c r="B92" s="17" t="s">
        <v>287</v>
      </c>
      <c r="C92" s="18">
        <v>45484</v>
      </c>
      <c r="D92" s="17" t="s">
        <v>112</v>
      </c>
      <c r="E92" s="17" t="s">
        <v>22</v>
      </c>
      <c r="F92" s="17" t="s">
        <v>288</v>
      </c>
      <c r="G92" s="28">
        <v>18360</v>
      </c>
      <c r="H92" s="28"/>
      <c r="I92" s="28">
        <f t="shared" si="6"/>
        <v>18360</v>
      </c>
      <c r="J92" s="21" t="s">
        <v>35</v>
      </c>
      <c r="K92" s="19" t="s">
        <v>25</v>
      </c>
      <c r="L92" s="22"/>
      <c r="M92" s="22"/>
      <c r="N92" s="22"/>
      <c r="O92" s="22"/>
      <c r="P92" s="34" t="s">
        <v>51</v>
      </c>
      <c r="Q92" s="24" t="s">
        <v>37</v>
      </c>
      <c r="R92" s="33"/>
    </row>
    <row r="93" spans="1:18">
      <c r="A93" s="17">
        <v>87</v>
      </c>
      <c r="B93" s="17" t="s">
        <v>289</v>
      </c>
      <c r="C93" s="18">
        <v>45485</v>
      </c>
      <c r="D93" s="17" t="s">
        <v>290</v>
      </c>
      <c r="E93" s="17" t="s">
        <v>22</v>
      </c>
      <c r="F93" s="17" t="s">
        <v>291</v>
      </c>
      <c r="G93" s="28">
        <v>16350</v>
      </c>
      <c r="H93" s="28">
        <f>G93*18%</f>
        <v>2943</v>
      </c>
      <c r="I93" s="28">
        <f t="shared" si="6"/>
        <v>19293</v>
      </c>
      <c r="J93" s="21" t="s">
        <v>24</v>
      </c>
      <c r="K93" s="19" t="s">
        <v>25</v>
      </c>
      <c r="L93" s="19"/>
      <c r="M93" s="18"/>
      <c r="N93" s="32"/>
      <c r="O93" s="23"/>
      <c r="P93" s="34" t="s">
        <v>216</v>
      </c>
      <c r="Q93" s="24" t="s">
        <v>37</v>
      </c>
      <c r="R93" s="26"/>
    </row>
    <row r="94" spans="1:18" ht="14.25">
      <c r="A94" s="17">
        <v>88</v>
      </c>
      <c r="B94" s="17" t="s">
        <v>292</v>
      </c>
      <c r="C94" s="18">
        <v>45485</v>
      </c>
      <c r="D94" s="17" t="s">
        <v>293</v>
      </c>
      <c r="E94" s="17" t="s">
        <v>22</v>
      </c>
      <c r="F94" s="17" t="s">
        <v>294</v>
      </c>
      <c r="G94" s="28">
        <v>23789</v>
      </c>
      <c r="H94" s="28">
        <f>G94*28%</f>
        <v>6660.920000000001</v>
      </c>
      <c r="I94" s="28">
        <f t="shared" si="6"/>
        <v>30449.920000000002</v>
      </c>
      <c r="J94" s="21" t="s">
        <v>131</v>
      </c>
      <c r="K94" s="19" t="s">
        <v>25</v>
      </c>
      <c r="L94" s="17"/>
      <c r="M94" s="18"/>
      <c r="N94" s="32"/>
      <c r="O94" s="23" t="s">
        <v>26</v>
      </c>
      <c r="P94" s="34" t="s">
        <v>27</v>
      </c>
      <c r="Q94" s="24" t="s">
        <v>37</v>
      </c>
      <c r="R94" s="26" t="s">
        <v>295</v>
      </c>
    </row>
    <row r="95" spans="1:18">
      <c r="A95" s="17">
        <v>89</v>
      </c>
      <c r="B95" s="17" t="s">
        <v>296</v>
      </c>
      <c r="C95" s="18">
        <v>45485</v>
      </c>
      <c r="D95" s="17" t="s">
        <v>242</v>
      </c>
      <c r="E95" s="17" t="s">
        <v>22</v>
      </c>
      <c r="F95" s="17" t="s">
        <v>243</v>
      </c>
      <c r="G95" s="28">
        <v>55800</v>
      </c>
      <c r="H95" s="28">
        <f t="shared" ref="H95:H110" si="7">G95*18%</f>
        <v>10044</v>
      </c>
      <c r="I95" s="28">
        <f t="shared" si="6"/>
        <v>65844</v>
      </c>
      <c r="J95" s="21" t="s">
        <v>24</v>
      </c>
      <c r="K95" s="19" t="s">
        <v>25</v>
      </c>
      <c r="L95" s="22"/>
      <c r="M95" s="22"/>
      <c r="N95" s="22"/>
      <c r="O95" s="23"/>
      <c r="P95" s="34"/>
      <c r="Q95" s="25" t="s">
        <v>28</v>
      </c>
      <c r="R95" s="17"/>
    </row>
    <row r="96" spans="1:18">
      <c r="A96" s="17">
        <v>90</v>
      </c>
      <c r="B96" s="17" t="s">
        <v>297</v>
      </c>
      <c r="C96" s="18">
        <v>45489</v>
      </c>
      <c r="D96" s="17" t="s">
        <v>255</v>
      </c>
      <c r="E96" s="17" t="s">
        <v>22</v>
      </c>
      <c r="F96" s="17" t="s">
        <v>298</v>
      </c>
      <c r="G96" s="28">
        <v>104000</v>
      </c>
      <c r="H96" s="28">
        <f t="shared" si="7"/>
        <v>18720</v>
      </c>
      <c r="I96" s="28">
        <f t="shared" si="6"/>
        <v>122720</v>
      </c>
      <c r="J96" s="21" t="s">
        <v>35</v>
      </c>
      <c r="K96" s="19" t="s">
        <v>25</v>
      </c>
      <c r="L96" s="17"/>
      <c r="M96" s="18"/>
      <c r="N96" s="32"/>
      <c r="O96" s="22"/>
      <c r="P96" s="34" t="s">
        <v>36</v>
      </c>
      <c r="Q96" s="24" t="s">
        <v>37</v>
      </c>
      <c r="R96" s="33"/>
    </row>
    <row r="97" spans="1:19">
      <c r="A97" s="17">
        <v>91</v>
      </c>
      <c r="B97" s="17" t="s">
        <v>299</v>
      </c>
      <c r="C97" s="18">
        <v>45489</v>
      </c>
      <c r="D97" s="17" t="s">
        <v>300</v>
      </c>
      <c r="E97" s="17" t="s">
        <v>301</v>
      </c>
      <c r="F97" s="17" t="s">
        <v>302</v>
      </c>
      <c r="G97" s="28">
        <v>96500</v>
      </c>
      <c r="H97" s="28">
        <f t="shared" si="7"/>
        <v>17370</v>
      </c>
      <c r="I97" s="28">
        <f t="shared" si="6"/>
        <v>113870</v>
      </c>
      <c r="J97" s="21" t="s">
        <v>24</v>
      </c>
      <c r="K97" s="19" t="s">
        <v>25</v>
      </c>
      <c r="L97" s="17"/>
      <c r="M97" s="18"/>
      <c r="N97" s="32"/>
      <c r="O97" s="22"/>
      <c r="P97" s="34" t="s">
        <v>36</v>
      </c>
      <c r="Q97" s="24" t="s">
        <v>37</v>
      </c>
      <c r="R97" s="33"/>
    </row>
    <row r="98" spans="1:19">
      <c r="A98" s="17">
        <v>92</v>
      </c>
      <c r="B98" s="17" t="s">
        <v>303</v>
      </c>
      <c r="C98" s="18">
        <v>45491</v>
      </c>
      <c r="D98" s="17" t="s">
        <v>209</v>
      </c>
      <c r="E98" s="17" t="s">
        <v>22</v>
      </c>
      <c r="F98" s="17" t="s">
        <v>207</v>
      </c>
      <c r="G98" s="28">
        <v>9682</v>
      </c>
      <c r="H98" s="28">
        <f t="shared" si="7"/>
        <v>1742.76</v>
      </c>
      <c r="I98" s="28">
        <f t="shared" si="6"/>
        <v>11424.76</v>
      </c>
      <c r="J98" s="21" t="s">
        <v>35</v>
      </c>
      <c r="K98" s="19" t="s">
        <v>25</v>
      </c>
      <c r="L98" s="22"/>
      <c r="M98" s="22"/>
      <c r="N98" s="22"/>
      <c r="O98" s="23"/>
      <c r="P98" s="34" t="s">
        <v>36</v>
      </c>
      <c r="Q98" s="24" t="s">
        <v>37</v>
      </c>
      <c r="R98" s="31"/>
    </row>
    <row r="99" spans="1:19">
      <c r="A99" s="17">
        <v>93</v>
      </c>
      <c r="B99" s="17" t="s">
        <v>304</v>
      </c>
      <c r="C99" s="18">
        <v>45491</v>
      </c>
      <c r="D99" s="17" t="s">
        <v>305</v>
      </c>
      <c r="E99" s="17" t="s">
        <v>22</v>
      </c>
      <c r="F99" s="17" t="s">
        <v>306</v>
      </c>
      <c r="G99" s="28">
        <v>8415</v>
      </c>
      <c r="H99" s="28">
        <f t="shared" si="7"/>
        <v>1514.7</v>
      </c>
      <c r="I99" s="28">
        <f t="shared" si="6"/>
        <v>9929.7000000000007</v>
      </c>
      <c r="J99" s="21" t="s">
        <v>24</v>
      </c>
      <c r="K99" s="19" t="s">
        <v>25</v>
      </c>
      <c r="L99" s="22"/>
      <c r="M99" s="22"/>
      <c r="N99" s="22"/>
      <c r="O99" s="22"/>
      <c r="P99" s="34" t="s">
        <v>51</v>
      </c>
      <c r="Q99" s="25" t="s">
        <v>28</v>
      </c>
      <c r="R99" s="33"/>
    </row>
    <row r="100" spans="1:19">
      <c r="A100" s="17">
        <v>94</v>
      </c>
      <c r="B100" s="17" t="s">
        <v>307</v>
      </c>
      <c r="C100" s="18">
        <v>45492</v>
      </c>
      <c r="D100" s="17" t="s">
        <v>203</v>
      </c>
      <c r="E100" s="17" t="s">
        <v>22</v>
      </c>
      <c r="F100" s="17" t="s">
        <v>308</v>
      </c>
      <c r="G100" s="28">
        <v>9088.9</v>
      </c>
      <c r="H100" s="28">
        <f t="shared" si="7"/>
        <v>1636.002</v>
      </c>
      <c r="I100" s="28">
        <f t="shared" si="6"/>
        <v>10724.902</v>
      </c>
      <c r="J100" s="21" t="s">
        <v>35</v>
      </c>
      <c r="K100" s="19" t="s">
        <v>25</v>
      </c>
      <c r="L100" s="22"/>
      <c r="M100" s="22"/>
      <c r="N100" s="22"/>
      <c r="O100" s="22"/>
      <c r="P100" s="34" t="s">
        <v>36</v>
      </c>
      <c r="Q100" s="24" t="s">
        <v>37</v>
      </c>
      <c r="R100" s="33"/>
    </row>
    <row r="101" spans="1:19">
      <c r="A101" s="17">
        <v>95</v>
      </c>
      <c r="B101" s="17" t="s">
        <v>309</v>
      </c>
      <c r="C101" s="18">
        <v>45492</v>
      </c>
      <c r="D101" s="17" t="s">
        <v>310</v>
      </c>
      <c r="E101" s="17" t="s">
        <v>311</v>
      </c>
      <c r="F101" s="17" t="s">
        <v>312</v>
      </c>
      <c r="G101" s="28">
        <v>53350</v>
      </c>
      <c r="H101" s="28">
        <f t="shared" si="7"/>
        <v>9603</v>
      </c>
      <c r="I101" s="28">
        <f t="shared" si="6"/>
        <v>62953</v>
      </c>
      <c r="J101" s="21" t="s">
        <v>24</v>
      </c>
      <c r="K101" s="19" t="s">
        <v>25</v>
      </c>
      <c r="L101" s="17"/>
      <c r="M101" s="18"/>
      <c r="N101" s="32"/>
      <c r="O101" s="23"/>
      <c r="P101" s="34" t="s">
        <v>36</v>
      </c>
      <c r="Q101" s="25" t="s">
        <v>28</v>
      </c>
      <c r="R101" s="31"/>
    </row>
    <row r="102" spans="1:19">
      <c r="A102" s="17">
        <v>96</v>
      </c>
      <c r="B102" s="17" t="s">
        <v>313</v>
      </c>
      <c r="C102" s="18">
        <v>45493</v>
      </c>
      <c r="D102" s="17" t="s">
        <v>126</v>
      </c>
      <c r="E102" s="17" t="s">
        <v>22</v>
      </c>
      <c r="F102" s="17" t="s">
        <v>314</v>
      </c>
      <c r="G102" s="28">
        <v>54450</v>
      </c>
      <c r="H102" s="28">
        <f t="shared" si="7"/>
        <v>9801</v>
      </c>
      <c r="I102" s="28">
        <f t="shared" si="6"/>
        <v>64251</v>
      </c>
      <c r="J102" s="21" t="s">
        <v>35</v>
      </c>
      <c r="K102" s="19" t="s">
        <v>25</v>
      </c>
      <c r="L102" s="22"/>
      <c r="M102" s="22"/>
      <c r="N102" s="22"/>
      <c r="O102" s="22"/>
      <c r="P102" s="34" t="s">
        <v>51</v>
      </c>
      <c r="Q102" s="25" t="s">
        <v>28</v>
      </c>
      <c r="R102" s="33"/>
    </row>
    <row r="103" spans="1:19">
      <c r="A103" s="17">
        <v>97</v>
      </c>
      <c r="B103" s="17" t="s">
        <v>315</v>
      </c>
      <c r="C103" s="18">
        <v>45493</v>
      </c>
      <c r="D103" s="17" t="s">
        <v>242</v>
      </c>
      <c r="E103" s="17" t="s">
        <v>22</v>
      </c>
      <c r="F103" s="17" t="s">
        <v>243</v>
      </c>
      <c r="G103" s="28">
        <v>79606</v>
      </c>
      <c r="H103" s="28">
        <f t="shared" si="7"/>
        <v>14329.08</v>
      </c>
      <c r="I103" s="28">
        <f t="shared" si="6"/>
        <v>93935.08</v>
      </c>
      <c r="J103" s="21" t="s">
        <v>24</v>
      </c>
      <c r="K103" s="19" t="s">
        <v>25</v>
      </c>
      <c r="L103" s="22"/>
      <c r="M103" s="22"/>
      <c r="N103" s="22"/>
      <c r="O103" s="22"/>
      <c r="P103" s="34" t="s">
        <v>51</v>
      </c>
      <c r="Q103" s="25" t="s">
        <v>28</v>
      </c>
      <c r="R103" s="33"/>
    </row>
    <row r="104" spans="1:19">
      <c r="A104" s="17">
        <v>98</v>
      </c>
      <c r="B104" s="17" t="s">
        <v>316</v>
      </c>
      <c r="C104" s="18">
        <v>45495</v>
      </c>
      <c r="D104" s="17" t="s">
        <v>49</v>
      </c>
      <c r="E104" s="17" t="s">
        <v>22</v>
      </c>
      <c r="F104" s="17" t="s">
        <v>50</v>
      </c>
      <c r="G104" s="28">
        <v>13800</v>
      </c>
      <c r="H104" s="28">
        <f t="shared" si="7"/>
        <v>2484</v>
      </c>
      <c r="I104" s="28">
        <f t="shared" si="6"/>
        <v>16284</v>
      </c>
      <c r="J104" s="21" t="s">
        <v>35</v>
      </c>
      <c r="K104" s="19" t="s">
        <v>25</v>
      </c>
      <c r="L104" s="22"/>
      <c r="M104" s="22"/>
      <c r="N104" s="22"/>
      <c r="O104" s="22"/>
      <c r="P104" s="34" t="s">
        <v>51</v>
      </c>
      <c r="Q104" s="24" t="s">
        <v>37</v>
      </c>
      <c r="R104" s="33"/>
    </row>
    <row r="105" spans="1:19" ht="14.25">
      <c r="A105" s="17">
        <v>99</v>
      </c>
      <c r="B105" s="17" t="s">
        <v>317</v>
      </c>
      <c r="C105" s="18">
        <v>45496</v>
      </c>
      <c r="D105" s="17" t="s">
        <v>318</v>
      </c>
      <c r="E105" s="17" t="s">
        <v>22</v>
      </c>
      <c r="F105" s="17" t="s">
        <v>319</v>
      </c>
      <c r="G105" s="28">
        <v>89610</v>
      </c>
      <c r="H105" s="28">
        <f t="shared" si="7"/>
        <v>16129.8</v>
      </c>
      <c r="I105" s="28">
        <f t="shared" si="6"/>
        <v>105739.8</v>
      </c>
      <c r="J105" s="21" t="s">
        <v>131</v>
      </c>
      <c r="K105" s="19" t="s">
        <v>25</v>
      </c>
      <c r="L105" s="19"/>
      <c r="M105" s="18"/>
      <c r="N105" s="32"/>
      <c r="O105" s="23" t="s">
        <v>195</v>
      </c>
      <c r="P105" s="34" t="s">
        <v>27</v>
      </c>
      <c r="Q105" s="24" t="s">
        <v>37</v>
      </c>
      <c r="R105" s="26" t="s">
        <v>276</v>
      </c>
    </row>
    <row r="106" spans="1:19">
      <c r="A106" s="17">
        <v>100</v>
      </c>
      <c r="B106" s="17" t="s">
        <v>320</v>
      </c>
      <c r="C106" s="18">
        <v>45496</v>
      </c>
      <c r="D106" s="17" t="s">
        <v>321</v>
      </c>
      <c r="E106" s="17" t="s">
        <v>22</v>
      </c>
      <c r="F106" s="17" t="s">
        <v>322</v>
      </c>
      <c r="G106" s="28">
        <v>453720.36</v>
      </c>
      <c r="H106" s="28">
        <f t="shared" si="7"/>
        <v>81669.664799999999</v>
      </c>
      <c r="I106" s="28">
        <f t="shared" si="6"/>
        <v>535390.02480000001</v>
      </c>
      <c r="J106" s="21" t="s">
        <v>35</v>
      </c>
      <c r="K106" s="19" t="s">
        <v>25</v>
      </c>
      <c r="L106" s="19"/>
      <c r="M106" s="18"/>
      <c r="N106" s="32"/>
      <c r="O106" s="22"/>
      <c r="P106" s="34" t="s">
        <v>36</v>
      </c>
      <c r="Q106" s="24" t="s">
        <v>37</v>
      </c>
      <c r="R106" s="33"/>
    </row>
    <row r="107" spans="1:19">
      <c r="A107" s="17">
        <v>101</v>
      </c>
      <c r="B107" s="17" t="s">
        <v>323</v>
      </c>
      <c r="C107" s="18">
        <v>45496</v>
      </c>
      <c r="D107" s="17" t="s">
        <v>324</v>
      </c>
      <c r="E107" s="17" t="s">
        <v>22</v>
      </c>
      <c r="F107" s="17" t="s">
        <v>325</v>
      </c>
      <c r="G107" s="28">
        <v>129910.24</v>
      </c>
      <c r="H107" s="28">
        <f t="shared" si="7"/>
        <v>23383.843199999999</v>
      </c>
      <c r="I107" s="28">
        <f t="shared" si="6"/>
        <v>153294.08319999999</v>
      </c>
      <c r="J107" s="21" t="s">
        <v>35</v>
      </c>
      <c r="K107" s="19" t="s">
        <v>25</v>
      </c>
      <c r="L107" s="22"/>
      <c r="M107" s="22"/>
      <c r="N107" s="22"/>
      <c r="O107" s="22"/>
      <c r="P107" s="34" t="s">
        <v>36</v>
      </c>
      <c r="Q107" s="24" t="s">
        <v>37</v>
      </c>
      <c r="R107" s="33"/>
    </row>
    <row r="108" spans="1:19">
      <c r="A108" s="17">
        <v>102</v>
      </c>
      <c r="B108" s="17" t="s">
        <v>326</v>
      </c>
      <c r="C108" s="18">
        <v>45498</v>
      </c>
      <c r="D108" s="17" t="s">
        <v>112</v>
      </c>
      <c r="E108" s="17" t="s">
        <v>22</v>
      </c>
      <c r="F108" s="17" t="s">
        <v>327</v>
      </c>
      <c r="G108" s="28">
        <v>39130</v>
      </c>
      <c r="H108" s="28">
        <f t="shared" si="7"/>
        <v>7043.4</v>
      </c>
      <c r="I108" s="28">
        <f t="shared" si="6"/>
        <v>46173.4</v>
      </c>
      <c r="J108" s="21" t="s">
        <v>35</v>
      </c>
      <c r="K108" s="19" t="s">
        <v>25</v>
      </c>
      <c r="L108" s="22"/>
      <c r="M108" s="22"/>
      <c r="N108" s="22"/>
      <c r="O108" s="23"/>
      <c r="P108" s="34" t="s">
        <v>114</v>
      </c>
      <c r="Q108" s="24" t="s">
        <v>37</v>
      </c>
      <c r="R108" s="31"/>
      <c r="S108" s="38"/>
    </row>
    <row r="109" spans="1:19" ht="14.25">
      <c r="A109" s="17">
        <v>103</v>
      </c>
      <c r="B109" s="17" t="s">
        <v>328</v>
      </c>
      <c r="C109" s="18">
        <v>45498</v>
      </c>
      <c r="D109" s="17" t="s">
        <v>329</v>
      </c>
      <c r="E109" s="17" t="s">
        <v>311</v>
      </c>
      <c r="F109" s="17" t="s">
        <v>330</v>
      </c>
      <c r="G109" s="28">
        <v>13400</v>
      </c>
      <c r="H109" s="28">
        <f t="shared" si="7"/>
        <v>2412</v>
      </c>
      <c r="I109" s="28">
        <f t="shared" si="6"/>
        <v>15812</v>
      </c>
      <c r="J109" s="21" t="s">
        <v>35</v>
      </c>
      <c r="K109" s="19" t="s">
        <v>25</v>
      </c>
      <c r="L109" s="19"/>
      <c r="M109" s="18"/>
      <c r="N109" s="32"/>
      <c r="O109" s="23" t="s">
        <v>195</v>
      </c>
      <c r="P109" s="34" t="s">
        <v>27</v>
      </c>
      <c r="Q109" s="25" t="s">
        <v>28</v>
      </c>
      <c r="R109" s="26" t="s">
        <v>276</v>
      </c>
    </row>
    <row r="110" spans="1:19">
      <c r="A110" s="17">
        <v>104</v>
      </c>
      <c r="B110" s="17" t="s">
        <v>331</v>
      </c>
      <c r="C110" s="18">
        <v>45502</v>
      </c>
      <c r="D110" s="17" t="s">
        <v>332</v>
      </c>
      <c r="E110" s="17" t="s">
        <v>22</v>
      </c>
      <c r="F110" s="17" t="s">
        <v>333</v>
      </c>
      <c r="G110" s="28">
        <v>48708</v>
      </c>
      <c r="H110" s="28">
        <f t="shared" si="7"/>
        <v>8767.44</v>
      </c>
      <c r="I110" s="28">
        <f t="shared" si="6"/>
        <v>57475.44</v>
      </c>
      <c r="J110" s="21" t="s">
        <v>35</v>
      </c>
      <c r="K110" s="19" t="s">
        <v>25</v>
      </c>
      <c r="L110" s="22"/>
      <c r="M110" s="22"/>
      <c r="N110" s="22"/>
      <c r="O110" s="22"/>
      <c r="P110" s="34" t="s">
        <v>51</v>
      </c>
      <c r="Q110" s="25" t="s">
        <v>28</v>
      </c>
      <c r="R110" s="33"/>
    </row>
    <row r="111" spans="1:19">
      <c r="A111" s="17">
        <v>105</v>
      </c>
      <c r="B111" s="17" t="s">
        <v>334</v>
      </c>
      <c r="C111" s="18">
        <v>45502</v>
      </c>
      <c r="D111" s="17" t="s">
        <v>166</v>
      </c>
      <c r="E111" s="17" t="s">
        <v>22</v>
      </c>
      <c r="F111" s="17" t="s">
        <v>335</v>
      </c>
      <c r="G111" s="28">
        <v>27000</v>
      </c>
      <c r="H111" s="28">
        <v>1896</v>
      </c>
      <c r="I111" s="28">
        <f t="shared" si="6"/>
        <v>28896</v>
      </c>
      <c r="J111" s="21" t="s">
        <v>35</v>
      </c>
      <c r="K111" s="19" t="s">
        <v>25</v>
      </c>
      <c r="L111" s="22"/>
      <c r="M111" s="22"/>
      <c r="N111" s="22"/>
      <c r="O111" s="22"/>
      <c r="P111" s="34" t="s">
        <v>51</v>
      </c>
      <c r="Q111" s="24" t="s">
        <v>37</v>
      </c>
      <c r="R111" s="33"/>
    </row>
    <row r="112" spans="1:19">
      <c r="A112" s="17">
        <v>106</v>
      </c>
      <c r="B112" s="17" t="s">
        <v>336</v>
      </c>
      <c r="C112" s="18">
        <v>45505</v>
      </c>
      <c r="D112" s="17" t="s">
        <v>242</v>
      </c>
      <c r="E112" s="17" t="s">
        <v>22</v>
      </c>
      <c r="F112" s="17" t="s">
        <v>243</v>
      </c>
      <c r="G112" s="28">
        <v>177600</v>
      </c>
      <c r="H112" s="28">
        <f t="shared" ref="H112:H138" si="8">G112*18%</f>
        <v>31968</v>
      </c>
      <c r="I112" s="28">
        <f t="shared" si="6"/>
        <v>209568</v>
      </c>
      <c r="J112" s="21" t="s">
        <v>24</v>
      </c>
      <c r="K112" s="19" t="s">
        <v>25</v>
      </c>
      <c r="L112" s="22"/>
      <c r="M112" s="22"/>
      <c r="N112" s="22"/>
      <c r="O112" s="22"/>
      <c r="P112" s="34" t="s">
        <v>51</v>
      </c>
      <c r="Q112" s="25" t="s">
        <v>28</v>
      </c>
      <c r="R112" s="33"/>
    </row>
    <row r="113" spans="1:19" ht="14.25">
      <c r="A113" s="17">
        <v>107</v>
      </c>
      <c r="B113" s="17" t="s">
        <v>337</v>
      </c>
      <c r="C113" s="18">
        <v>45505</v>
      </c>
      <c r="D113" s="17" t="s">
        <v>338</v>
      </c>
      <c r="E113" s="17" t="s">
        <v>22</v>
      </c>
      <c r="F113" s="17" t="s">
        <v>339</v>
      </c>
      <c r="G113" s="28">
        <v>48290</v>
      </c>
      <c r="H113" s="28">
        <f t="shared" si="8"/>
        <v>8692.1999999999989</v>
      </c>
      <c r="I113" s="28">
        <f t="shared" si="6"/>
        <v>56982.2</v>
      </c>
      <c r="J113" s="21" t="s">
        <v>24</v>
      </c>
      <c r="K113" s="19" t="s">
        <v>25</v>
      </c>
      <c r="L113" s="22"/>
      <c r="M113" s="22"/>
      <c r="N113" s="22"/>
      <c r="O113" s="23" t="s">
        <v>26</v>
      </c>
      <c r="P113" s="34" t="s">
        <v>27</v>
      </c>
      <c r="Q113" s="25" t="s">
        <v>28</v>
      </c>
      <c r="R113" s="26" t="s">
        <v>295</v>
      </c>
    </row>
    <row r="114" spans="1:19">
      <c r="A114" s="17">
        <v>108</v>
      </c>
      <c r="B114" s="17" t="s">
        <v>340</v>
      </c>
      <c r="C114" s="18">
        <v>45509</v>
      </c>
      <c r="D114" s="17" t="s">
        <v>341</v>
      </c>
      <c r="E114" s="17" t="s">
        <v>22</v>
      </c>
      <c r="F114" s="17" t="s">
        <v>342</v>
      </c>
      <c r="G114" s="28">
        <v>13420</v>
      </c>
      <c r="H114" s="28">
        <f t="shared" si="8"/>
        <v>2415.6</v>
      </c>
      <c r="I114" s="28">
        <f t="shared" si="6"/>
        <v>15835.6</v>
      </c>
      <c r="J114" s="21" t="s">
        <v>24</v>
      </c>
      <c r="K114" s="19" t="s">
        <v>25</v>
      </c>
      <c r="L114" s="22"/>
      <c r="M114" s="22"/>
      <c r="N114" s="22"/>
      <c r="O114" s="23"/>
      <c r="P114" s="34" t="s">
        <v>36</v>
      </c>
      <c r="Q114" s="25" t="s">
        <v>28</v>
      </c>
      <c r="R114" s="31"/>
    </row>
    <row r="115" spans="1:19" ht="25.5">
      <c r="A115" s="17">
        <v>109</v>
      </c>
      <c r="B115" s="17" t="s">
        <v>343</v>
      </c>
      <c r="C115" s="18">
        <v>45511</v>
      </c>
      <c r="D115" s="17" t="s">
        <v>344</v>
      </c>
      <c r="E115" s="17" t="s">
        <v>345</v>
      </c>
      <c r="F115" s="41" t="s">
        <v>346</v>
      </c>
      <c r="G115" s="28">
        <v>700000</v>
      </c>
      <c r="H115" s="28">
        <f t="shared" si="8"/>
        <v>126000</v>
      </c>
      <c r="I115" s="28">
        <f t="shared" si="6"/>
        <v>826000</v>
      </c>
      <c r="J115" s="21" t="s">
        <v>35</v>
      </c>
      <c r="K115" s="17" t="s">
        <v>25</v>
      </c>
      <c r="L115" s="17"/>
      <c r="M115" s="18"/>
      <c r="N115" s="28"/>
      <c r="O115" s="23" t="s">
        <v>263</v>
      </c>
      <c r="P115" s="24" t="s">
        <v>27</v>
      </c>
      <c r="Q115" s="24" t="s">
        <v>37</v>
      </c>
      <c r="R115" s="26" t="s">
        <v>265</v>
      </c>
    </row>
    <row r="116" spans="1:19" ht="25.5">
      <c r="A116" s="17">
        <v>110</v>
      </c>
      <c r="B116" s="17" t="s">
        <v>347</v>
      </c>
      <c r="C116" s="18">
        <v>45516</v>
      </c>
      <c r="D116" s="17" t="s">
        <v>348</v>
      </c>
      <c r="E116" s="17" t="s">
        <v>157</v>
      </c>
      <c r="F116" s="41" t="s">
        <v>349</v>
      </c>
      <c r="G116" s="28">
        <v>199500</v>
      </c>
      <c r="H116" s="28">
        <f t="shared" si="8"/>
        <v>35910</v>
      </c>
      <c r="I116" s="28">
        <f t="shared" si="6"/>
        <v>235410</v>
      </c>
      <c r="J116" s="21" t="s">
        <v>35</v>
      </c>
      <c r="K116" s="17" t="s">
        <v>25</v>
      </c>
      <c r="L116" s="17"/>
      <c r="M116" s="18"/>
      <c r="N116" s="28"/>
      <c r="O116" s="23" t="s">
        <v>263</v>
      </c>
      <c r="P116" s="24" t="s">
        <v>27</v>
      </c>
      <c r="Q116" s="24" t="s">
        <v>37</v>
      </c>
      <c r="R116" s="26" t="s">
        <v>265</v>
      </c>
    </row>
    <row r="117" spans="1:19" ht="14.25">
      <c r="A117" s="17">
        <v>111</v>
      </c>
      <c r="B117" s="17" t="s">
        <v>350</v>
      </c>
      <c r="C117" s="18">
        <v>45516</v>
      </c>
      <c r="D117" s="17" t="s">
        <v>268</v>
      </c>
      <c r="E117" s="17" t="s">
        <v>22</v>
      </c>
      <c r="F117" s="17" t="s">
        <v>351</v>
      </c>
      <c r="G117" s="28">
        <v>161000</v>
      </c>
      <c r="H117" s="28">
        <f t="shared" si="8"/>
        <v>28980</v>
      </c>
      <c r="I117" s="28">
        <f t="shared" si="6"/>
        <v>189980</v>
      </c>
      <c r="J117" s="21" t="s">
        <v>35</v>
      </c>
      <c r="K117" s="19" t="s">
        <v>25</v>
      </c>
      <c r="L117" s="17"/>
      <c r="M117" s="18"/>
      <c r="N117" s="32"/>
      <c r="O117" s="23" t="s">
        <v>263</v>
      </c>
      <c r="P117" s="34" t="s">
        <v>27</v>
      </c>
      <c r="Q117" s="24" t="s">
        <v>37</v>
      </c>
      <c r="R117" s="26" t="s">
        <v>265</v>
      </c>
    </row>
    <row r="118" spans="1:19">
      <c r="A118" s="17">
        <v>112</v>
      </c>
      <c r="B118" s="17" t="s">
        <v>352</v>
      </c>
      <c r="C118" s="18">
        <v>45517</v>
      </c>
      <c r="D118" s="17" t="s">
        <v>353</v>
      </c>
      <c r="E118" s="17" t="s">
        <v>22</v>
      </c>
      <c r="F118" s="17" t="s">
        <v>354</v>
      </c>
      <c r="G118" s="28">
        <v>76000</v>
      </c>
      <c r="H118" s="28">
        <f t="shared" si="8"/>
        <v>13680</v>
      </c>
      <c r="I118" s="28">
        <f t="shared" si="6"/>
        <v>89680</v>
      </c>
      <c r="J118" s="21" t="s">
        <v>35</v>
      </c>
      <c r="K118" s="19" t="s">
        <v>25</v>
      </c>
      <c r="L118" s="22"/>
      <c r="M118" s="22"/>
      <c r="N118" s="22"/>
      <c r="O118" s="33"/>
      <c r="P118" s="34" t="s">
        <v>36</v>
      </c>
      <c r="Q118" s="24" t="s">
        <v>37</v>
      </c>
      <c r="R118" s="17"/>
    </row>
    <row r="119" spans="1:19">
      <c r="A119" s="17">
        <v>113</v>
      </c>
      <c r="B119" s="17" t="s">
        <v>355</v>
      </c>
      <c r="C119" s="18">
        <v>45524</v>
      </c>
      <c r="D119" s="17" t="s">
        <v>242</v>
      </c>
      <c r="E119" s="17" t="s">
        <v>22</v>
      </c>
      <c r="F119" s="27" t="s">
        <v>243</v>
      </c>
      <c r="G119" s="28">
        <v>164800</v>
      </c>
      <c r="H119" s="28">
        <f t="shared" si="8"/>
        <v>29664</v>
      </c>
      <c r="I119" s="28">
        <f t="shared" si="6"/>
        <v>194464</v>
      </c>
      <c r="J119" s="21" t="s">
        <v>24</v>
      </c>
      <c r="K119" s="19" t="s">
        <v>25</v>
      </c>
      <c r="L119" s="22"/>
      <c r="M119" s="22"/>
      <c r="N119" s="22"/>
      <c r="O119" s="22"/>
      <c r="P119" s="34" t="s">
        <v>51</v>
      </c>
      <c r="Q119" s="25" t="s">
        <v>28</v>
      </c>
      <c r="R119" s="33"/>
    </row>
    <row r="120" spans="1:19" s="61" customFormat="1">
      <c r="A120" s="53">
        <v>114</v>
      </c>
      <c r="B120" s="17" t="s">
        <v>356</v>
      </c>
      <c r="C120" s="54">
        <v>45525</v>
      </c>
      <c r="D120" s="53" t="s">
        <v>258</v>
      </c>
      <c r="E120" s="53" t="s">
        <v>22</v>
      </c>
      <c r="F120" s="53" t="s">
        <v>286</v>
      </c>
      <c r="G120" s="55">
        <v>21075</v>
      </c>
      <c r="H120" s="55">
        <f t="shared" si="8"/>
        <v>3793.5</v>
      </c>
      <c r="I120" s="55">
        <f t="shared" si="6"/>
        <v>24868.5</v>
      </c>
      <c r="J120" s="56" t="s">
        <v>24</v>
      </c>
      <c r="K120" s="57" t="s">
        <v>25</v>
      </c>
      <c r="L120" s="58"/>
      <c r="M120" s="58"/>
      <c r="N120" s="58"/>
      <c r="O120" s="58"/>
      <c r="P120" s="59"/>
      <c r="Q120" s="25" t="s">
        <v>28</v>
      </c>
      <c r="R120" s="26" t="s">
        <v>189</v>
      </c>
      <c r="S120" s="60"/>
    </row>
    <row r="121" spans="1:19">
      <c r="A121" s="17">
        <v>115</v>
      </c>
      <c r="B121" s="17" t="s">
        <v>357</v>
      </c>
      <c r="C121" s="54">
        <v>45525</v>
      </c>
      <c r="D121" s="17" t="s">
        <v>358</v>
      </c>
      <c r="E121" s="17" t="s">
        <v>22</v>
      </c>
      <c r="F121" s="17" t="s">
        <v>359</v>
      </c>
      <c r="G121" s="28">
        <v>228000</v>
      </c>
      <c r="H121" s="28">
        <f t="shared" si="8"/>
        <v>41040</v>
      </c>
      <c r="I121" s="28">
        <f t="shared" si="6"/>
        <v>269040</v>
      </c>
      <c r="J121" s="56" t="s">
        <v>24</v>
      </c>
      <c r="K121" s="19" t="s">
        <v>25</v>
      </c>
      <c r="L121" s="22"/>
      <c r="M121" s="22"/>
      <c r="N121" s="22"/>
      <c r="O121" s="22"/>
      <c r="P121" s="59" t="s">
        <v>36</v>
      </c>
      <c r="Q121" s="25" t="s">
        <v>28</v>
      </c>
      <c r="R121" s="33"/>
    </row>
    <row r="122" spans="1:19">
      <c r="A122" s="17">
        <v>116</v>
      </c>
      <c r="B122" s="17" t="s">
        <v>360</v>
      </c>
      <c r="C122" s="54">
        <v>45526</v>
      </c>
      <c r="D122" s="17" t="s">
        <v>112</v>
      </c>
      <c r="E122" s="17" t="s">
        <v>22</v>
      </c>
      <c r="F122" s="17" t="s">
        <v>191</v>
      </c>
      <c r="G122" s="28">
        <v>78561</v>
      </c>
      <c r="H122" s="28">
        <f t="shared" si="8"/>
        <v>14140.98</v>
      </c>
      <c r="I122" s="28">
        <f t="shared" si="6"/>
        <v>92701.98</v>
      </c>
      <c r="J122" s="56" t="s">
        <v>35</v>
      </c>
      <c r="K122" s="19" t="s">
        <v>25</v>
      </c>
      <c r="L122" s="22"/>
      <c r="M122" s="22"/>
      <c r="N122" s="22"/>
      <c r="O122" s="23"/>
      <c r="P122" s="59" t="s">
        <v>114</v>
      </c>
      <c r="Q122" s="62" t="s">
        <v>37</v>
      </c>
      <c r="R122" s="31"/>
      <c r="S122" s="63"/>
    </row>
    <row r="123" spans="1:19">
      <c r="A123" s="17">
        <v>117</v>
      </c>
      <c r="B123" s="17" t="s">
        <v>361</v>
      </c>
      <c r="C123" s="54">
        <v>45526</v>
      </c>
      <c r="D123" s="17" t="s">
        <v>362</v>
      </c>
      <c r="E123" s="17" t="s">
        <v>22</v>
      </c>
      <c r="F123" s="17" t="s">
        <v>363</v>
      </c>
      <c r="G123" s="28">
        <v>33201</v>
      </c>
      <c r="H123" s="28">
        <f t="shared" si="8"/>
        <v>5976.1799999999994</v>
      </c>
      <c r="I123" s="28">
        <f t="shared" si="6"/>
        <v>39177.18</v>
      </c>
      <c r="J123" s="56" t="s">
        <v>35</v>
      </c>
      <c r="K123" s="19" t="s">
        <v>25</v>
      </c>
      <c r="L123" s="22"/>
      <c r="M123" s="22"/>
      <c r="N123" s="22"/>
      <c r="O123" s="23"/>
      <c r="P123" s="59" t="s">
        <v>51</v>
      </c>
      <c r="Q123" s="25" t="s">
        <v>28</v>
      </c>
      <c r="R123" s="26"/>
    </row>
    <row r="124" spans="1:19">
      <c r="A124" s="17">
        <v>118</v>
      </c>
      <c r="B124" s="17" t="s">
        <v>364</v>
      </c>
      <c r="C124" s="18">
        <v>45534</v>
      </c>
      <c r="D124" s="17" t="s">
        <v>362</v>
      </c>
      <c r="E124" s="17" t="s">
        <v>22</v>
      </c>
      <c r="F124" s="17" t="s">
        <v>365</v>
      </c>
      <c r="G124" s="28">
        <v>73000</v>
      </c>
      <c r="H124" s="28">
        <f t="shared" si="8"/>
        <v>13140</v>
      </c>
      <c r="I124" s="28">
        <f t="shared" si="6"/>
        <v>86140</v>
      </c>
      <c r="J124" s="56" t="s">
        <v>35</v>
      </c>
      <c r="K124" s="19" t="s">
        <v>25</v>
      </c>
      <c r="L124" s="22"/>
      <c r="M124" s="22"/>
      <c r="N124" s="22"/>
      <c r="O124" s="23"/>
      <c r="P124" s="59" t="s">
        <v>51</v>
      </c>
      <c r="Q124" s="25" t="s">
        <v>28</v>
      </c>
      <c r="R124" s="17"/>
    </row>
    <row r="125" spans="1:19">
      <c r="A125" s="17">
        <v>119</v>
      </c>
      <c r="B125" s="17" t="s">
        <v>366</v>
      </c>
      <c r="C125" s="18">
        <v>45534</v>
      </c>
      <c r="D125" s="17" t="s">
        <v>62</v>
      </c>
      <c r="E125" s="17" t="s">
        <v>22</v>
      </c>
      <c r="F125" s="17" t="s">
        <v>63</v>
      </c>
      <c r="G125" s="28">
        <v>2090</v>
      </c>
      <c r="H125" s="28">
        <f t="shared" si="8"/>
        <v>376.2</v>
      </c>
      <c r="I125" s="28">
        <f t="shared" si="6"/>
        <v>2466.1999999999998</v>
      </c>
      <c r="J125" s="56" t="s">
        <v>35</v>
      </c>
      <c r="K125" s="19" t="s">
        <v>25</v>
      </c>
      <c r="L125" s="22"/>
      <c r="M125" s="22"/>
      <c r="N125" s="22"/>
      <c r="O125" s="23"/>
      <c r="P125" s="59" t="s">
        <v>51</v>
      </c>
      <c r="Q125" s="25" t="s">
        <v>28</v>
      </c>
      <c r="R125" s="26"/>
    </row>
    <row r="126" spans="1:19">
      <c r="A126" s="17">
        <v>120</v>
      </c>
      <c r="B126" s="17" t="s">
        <v>367</v>
      </c>
      <c r="C126" s="18">
        <v>45535</v>
      </c>
      <c r="D126" s="17" t="s">
        <v>242</v>
      </c>
      <c r="E126" s="17" t="s">
        <v>22</v>
      </c>
      <c r="F126" s="17" t="s">
        <v>368</v>
      </c>
      <c r="G126" s="28">
        <v>4900</v>
      </c>
      <c r="H126" s="28">
        <f t="shared" si="8"/>
        <v>882</v>
      </c>
      <c r="I126" s="28">
        <f t="shared" si="6"/>
        <v>5782</v>
      </c>
      <c r="J126" s="21" t="s">
        <v>24</v>
      </c>
      <c r="K126" s="19" t="s">
        <v>25</v>
      </c>
      <c r="L126" s="22"/>
      <c r="M126" s="22"/>
      <c r="N126" s="22"/>
      <c r="O126" s="22"/>
      <c r="P126" s="59" t="s">
        <v>51</v>
      </c>
      <c r="Q126" s="25" t="s">
        <v>28</v>
      </c>
      <c r="R126" s="33"/>
    </row>
    <row r="127" spans="1:19">
      <c r="A127" s="17">
        <v>121</v>
      </c>
      <c r="B127" s="17" t="s">
        <v>369</v>
      </c>
      <c r="C127" s="18">
        <v>45535</v>
      </c>
      <c r="D127" s="17" t="s">
        <v>370</v>
      </c>
      <c r="E127" s="17" t="s">
        <v>22</v>
      </c>
      <c r="F127" s="17" t="s">
        <v>371</v>
      </c>
      <c r="G127" s="28">
        <v>7300</v>
      </c>
      <c r="H127" s="28">
        <f t="shared" si="8"/>
        <v>1314</v>
      </c>
      <c r="I127" s="28">
        <f t="shared" si="6"/>
        <v>8614</v>
      </c>
      <c r="J127" s="21" t="s">
        <v>24</v>
      </c>
      <c r="K127" s="19" t="s">
        <v>25</v>
      </c>
      <c r="L127" s="22"/>
      <c r="M127" s="22"/>
      <c r="N127" s="22"/>
      <c r="O127" s="22"/>
      <c r="P127" s="34" t="s">
        <v>216</v>
      </c>
      <c r="Q127" s="24" t="s">
        <v>37</v>
      </c>
      <c r="R127" s="33"/>
    </row>
    <row r="128" spans="1:19">
      <c r="A128" s="46">
        <v>122</v>
      </c>
      <c r="B128" s="46" t="s">
        <v>372</v>
      </c>
      <c r="C128" s="47">
        <v>45537</v>
      </c>
      <c r="D128" s="46" t="s">
        <v>143</v>
      </c>
      <c r="E128" s="46"/>
      <c r="F128" s="46" t="s">
        <v>373</v>
      </c>
      <c r="G128" s="48"/>
      <c r="H128" s="48">
        <f t="shared" si="8"/>
        <v>0</v>
      </c>
      <c r="I128" s="48">
        <f t="shared" si="6"/>
        <v>0</v>
      </c>
      <c r="J128" s="49" t="s">
        <v>24</v>
      </c>
      <c r="K128" s="50" t="s">
        <v>25</v>
      </c>
      <c r="L128" s="51"/>
      <c r="M128" s="51"/>
      <c r="N128" s="51"/>
      <c r="O128" s="51"/>
      <c r="P128" s="34" t="s">
        <v>216</v>
      </c>
      <c r="Q128" s="25"/>
      <c r="R128" s="52" t="s">
        <v>273</v>
      </c>
    </row>
    <row r="129" spans="1:19">
      <c r="A129" s="17">
        <v>123</v>
      </c>
      <c r="B129" s="17" t="s">
        <v>374</v>
      </c>
      <c r="C129" s="18">
        <v>45537</v>
      </c>
      <c r="D129" s="17" t="s">
        <v>375</v>
      </c>
      <c r="E129" s="17" t="s">
        <v>22</v>
      </c>
      <c r="F129" s="17" t="s">
        <v>376</v>
      </c>
      <c r="G129" s="28">
        <v>277120</v>
      </c>
      <c r="H129" s="28">
        <f t="shared" si="8"/>
        <v>49881.599999999999</v>
      </c>
      <c r="I129" s="28">
        <f t="shared" si="6"/>
        <v>327001.59999999998</v>
      </c>
      <c r="J129" s="21" t="s">
        <v>35</v>
      </c>
      <c r="K129" s="19" t="s">
        <v>25</v>
      </c>
      <c r="L129" s="17"/>
      <c r="M129" s="18"/>
      <c r="N129" s="32"/>
      <c r="O129" s="23"/>
      <c r="P129" s="34" t="s">
        <v>36</v>
      </c>
      <c r="Q129" s="25" t="s">
        <v>28</v>
      </c>
      <c r="R129" s="26"/>
    </row>
    <row r="130" spans="1:19">
      <c r="A130" s="17">
        <v>124</v>
      </c>
      <c r="B130" s="17" t="s">
        <v>377</v>
      </c>
      <c r="C130" s="18">
        <v>45538</v>
      </c>
      <c r="D130" s="17" t="s">
        <v>242</v>
      </c>
      <c r="E130" s="17" t="s">
        <v>22</v>
      </c>
      <c r="F130" s="17" t="s">
        <v>368</v>
      </c>
      <c r="G130" s="28">
        <v>9800</v>
      </c>
      <c r="H130" s="28">
        <f t="shared" si="8"/>
        <v>1764</v>
      </c>
      <c r="I130" s="28">
        <f t="shared" si="6"/>
        <v>11564</v>
      </c>
      <c r="J130" s="21" t="s">
        <v>24</v>
      </c>
      <c r="K130" s="19" t="s">
        <v>25</v>
      </c>
      <c r="L130" s="22"/>
      <c r="M130" s="22"/>
      <c r="N130" s="22"/>
      <c r="O130" s="22"/>
      <c r="P130" s="34" t="s">
        <v>51</v>
      </c>
      <c r="Q130" s="25" t="s">
        <v>28</v>
      </c>
      <c r="R130" s="33"/>
    </row>
    <row r="131" spans="1:19" s="61" customFormat="1" ht="14.25">
      <c r="A131" s="17">
        <v>125</v>
      </c>
      <c r="B131" s="17" t="s">
        <v>378</v>
      </c>
      <c r="C131" s="18">
        <v>45538</v>
      </c>
      <c r="D131" s="53" t="s">
        <v>379</v>
      </c>
      <c r="E131" s="53" t="s">
        <v>22</v>
      </c>
      <c r="F131" s="53" t="s">
        <v>380</v>
      </c>
      <c r="G131" s="55">
        <v>43198</v>
      </c>
      <c r="H131" s="55">
        <f t="shared" si="8"/>
        <v>7775.6399999999994</v>
      </c>
      <c r="I131" s="55">
        <f t="shared" si="6"/>
        <v>50973.64</v>
      </c>
      <c r="J131" s="56" t="s">
        <v>381</v>
      </c>
      <c r="K131" s="57" t="s">
        <v>25</v>
      </c>
      <c r="L131" s="53"/>
      <c r="M131" s="18"/>
      <c r="N131" s="64"/>
      <c r="O131" s="65" t="s">
        <v>195</v>
      </c>
      <c r="P131" s="34" t="s">
        <v>27</v>
      </c>
      <c r="Q131" s="24" t="s">
        <v>37</v>
      </c>
      <c r="R131" s="26" t="s">
        <v>276</v>
      </c>
      <c r="S131" s="60"/>
    </row>
    <row r="132" spans="1:19" ht="25.5">
      <c r="A132" s="17">
        <v>126</v>
      </c>
      <c r="B132" s="17" t="s">
        <v>382</v>
      </c>
      <c r="C132" s="54">
        <v>45539</v>
      </c>
      <c r="D132" s="27" t="s">
        <v>383</v>
      </c>
      <c r="E132" s="27" t="s">
        <v>22</v>
      </c>
      <c r="F132" s="41" t="s">
        <v>384</v>
      </c>
      <c r="G132" s="28">
        <v>51000</v>
      </c>
      <c r="H132" s="28">
        <f t="shared" si="8"/>
        <v>9180</v>
      </c>
      <c r="I132" s="28">
        <f t="shared" si="6"/>
        <v>60180</v>
      </c>
      <c r="J132" s="21" t="s">
        <v>35</v>
      </c>
      <c r="K132" s="17" t="s">
        <v>25</v>
      </c>
      <c r="L132" s="66"/>
      <c r="M132" s="66"/>
      <c r="N132" s="66"/>
      <c r="O132" s="65" t="s">
        <v>385</v>
      </c>
      <c r="P132" s="24" t="s">
        <v>27</v>
      </c>
      <c r="Q132" s="24" t="s">
        <v>37</v>
      </c>
      <c r="R132" s="67" t="s">
        <v>386</v>
      </c>
    </row>
    <row r="133" spans="1:19">
      <c r="A133" s="17">
        <v>127</v>
      </c>
      <c r="B133" s="17" t="s">
        <v>387</v>
      </c>
      <c r="C133" s="54">
        <v>45541</v>
      </c>
      <c r="D133" s="17" t="s">
        <v>134</v>
      </c>
      <c r="E133" s="17" t="s">
        <v>22</v>
      </c>
      <c r="F133" s="17" t="s">
        <v>234</v>
      </c>
      <c r="G133" s="28">
        <v>106600</v>
      </c>
      <c r="H133" s="28">
        <f t="shared" si="8"/>
        <v>19188</v>
      </c>
      <c r="I133" s="28">
        <f t="shared" si="6"/>
        <v>125788</v>
      </c>
      <c r="J133" s="21" t="s">
        <v>35</v>
      </c>
      <c r="K133" s="19" t="s">
        <v>25</v>
      </c>
      <c r="L133" s="17"/>
      <c r="M133" s="18"/>
      <c r="N133" s="32"/>
      <c r="O133" s="22"/>
      <c r="P133" s="34" t="s">
        <v>137</v>
      </c>
      <c r="Q133" s="24" t="s">
        <v>37</v>
      </c>
      <c r="R133" s="33"/>
    </row>
    <row r="134" spans="1:19">
      <c r="A134" s="17">
        <v>128</v>
      </c>
      <c r="B134" s="17" t="s">
        <v>388</v>
      </c>
      <c r="C134" s="68">
        <v>45545</v>
      </c>
      <c r="D134" s="44" t="s">
        <v>389</v>
      </c>
      <c r="E134" s="44" t="s">
        <v>22</v>
      </c>
      <c r="F134" s="27" t="s">
        <v>390</v>
      </c>
      <c r="G134" s="42">
        <v>21025</v>
      </c>
      <c r="H134" s="42">
        <f t="shared" si="8"/>
        <v>3784.5</v>
      </c>
      <c r="I134" s="42">
        <f t="shared" si="6"/>
        <v>24809.5</v>
      </c>
      <c r="J134" s="69" t="s">
        <v>381</v>
      </c>
      <c r="K134" s="27" t="s">
        <v>25</v>
      </c>
      <c r="L134" s="70"/>
      <c r="M134" s="70"/>
      <c r="N134" s="70"/>
      <c r="O134" s="70"/>
      <c r="P134" s="43" t="s">
        <v>216</v>
      </c>
      <c r="Q134" s="43" t="s">
        <v>37</v>
      </c>
      <c r="R134" s="26"/>
    </row>
    <row r="135" spans="1:19">
      <c r="A135" s="17">
        <v>129</v>
      </c>
      <c r="B135" s="17" t="s">
        <v>391</v>
      </c>
      <c r="C135" s="68">
        <v>45545</v>
      </c>
      <c r="D135" s="17" t="s">
        <v>392</v>
      </c>
      <c r="E135" s="17" t="s">
        <v>22</v>
      </c>
      <c r="F135" s="17" t="s">
        <v>393</v>
      </c>
      <c r="G135" s="28">
        <f>82516+825.16</f>
        <v>83341.16</v>
      </c>
      <c r="H135" s="42">
        <f t="shared" si="8"/>
        <v>15001.408799999999</v>
      </c>
      <c r="I135" s="42">
        <f t="shared" si="6"/>
        <v>98342.568800000008</v>
      </c>
      <c r="J135" s="21" t="s">
        <v>35</v>
      </c>
      <c r="K135" s="19" t="s">
        <v>25</v>
      </c>
      <c r="L135" s="22"/>
      <c r="M135" s="22"/>
      <c r="N135" s="22"/>
      <c r="O135" s="23"/>
      <c r="P135" s="43" t="s">
        <v>36</v>
      </c>
      <c r="Q135" s="43" t="s">
        <v>37</v>
      </c>
      <c r="R135" s="26"/>
    </row>
    <row r="136" spans="1:19">
      <c r="A136" s="17">
        <v>130</v>
      </c>
      <c r="B136" s="17" t="s">
        <v>394</v>
      </c>
      <c r="C136" s="18">
        <v>45546</v>
      </c>
      <c r="D136" s="17" t="s">
        <v>242</v>
      </c>
      <c r="E136" s="17" t="s">
        <v>22</v>
      </c>
      <c r="F136" s="41" t="s">
        <v>243</v>
      </c>
      <c r="G136" s="28">
        <v>5822</v>
      </c>
      <c r="H136" s="42">
        <f t="shared" si="8"/>
        <v>1047.96</v>
      </c>
      <c r="I136" s="42">
        <f t="shared" si="6"/>
        <v>6869.96</v>
      </c>
      <c r="J136" s="21" t="s">
        <v>24</v>
      </c>
      <c r="K136" s="17" t="s">
        <v>25</v>
      </c>
      <c r="L136" s="22"/>
      <c r="M136" s="22"/>
      <c r="N136" s="22"/>
      <c r="O136" s="23"/>
      <c r="P136" s="24" t="s">
        <v>51</v>
      </c>
      <c r="Q136" s="25" t="s">
        <v>28</v>
      </c>
      <c r="R136" s="71"/>
    </row>
    <row r="137" spans="1:19">
      <c r="A137" s="17">
        <v>131</v>
      </c>
      <c r="B137" s="17" t="s">
        <v>395</v>
      </c>
      <c r="C137" s="18">
        <v>45547</v>
      </c>
      <c r="D137" s="17" t="s">
        <v>268</v>
      </c>
      <c r="E137" s="17" t="s">
        <v>22</v>
      </c>
      <c r="F137" s="17" t="s">
        <v>396</v>
      </c>
      <c r="G137" s="28">
        <v>21046.400000000001</v>
      </c>
      <c r="H137" s="42">
        <f t="shared" si="8"/>
        <v>3788.3520000000003</v>
      </c>
      <c r="I137" s="42">
        <f t="shared" si="6"/>
        <v>24834.752</v>
      </c>
      <c r="J137" s="21" t="s">
        <v>24</v>
      </c>
      <c r="K137" s="19" t="s">
        <v>25</v>
      </c>
      <c r="L137" s="22"/>
      <c r="M137" s="22"/>
      <c r="N137" s="22"/>
      <c r="O137" s="65"/>
      <c r="P137" s="24" t="s">
        <v>51</v>
      </c>
      <c r="Q137" s="24" t="s">
        <v>37</v>
      </c>
      <c r="R137" s="26"/>
    </row>
    <row r="138" spans="1:19">
      <c r="A138" s="17">
        <v>132</v>
      </c>
      <c r="B138" s="17" t="s">
        <v>397</v>
      </c>
      <c r="C138" s="18">
        <v>45548</v>
      </c>
      <c r="D138" s="17" t="s">
        <v>398</v>
      </c>
      <c r="E138" s="17" t="s">
        <v>157</v>
      </c>
      <c r="F138" s="17" t="s">
        <v>399</v>
      </c>
      <c r="G138" s="28">
        <v>76000</v>
      </c>
      <c r="H138" s="28">
        <f t="shared" si="8"/>
        <v>13680</v>
      </c>
      <c r="I138" s="28">
        <f t="shared" si="6"/>
        <v>89680</v>
      </c>
      <c r="J138" s="21" t="s">
        <v>35</v>
      </c>
      <c r="K138" s="17" t="s">
        <v>25</v>
      </c>
      <c r="L138" s="22"/>
      <c r="M138" s="22"/>
      <c r="N138" s="22"/>
      <c r="O138" s="23"/>
      <c r="P138" s="24" t="s">
        <v>36</v>
      </c>
      <c r="Q138" s="25" t="s">
        <v>28</v>
      </c>
      <c r="R138" s="26"/>
    </row>
    <row r="139" spans="1:19">
      <c r="A139" s="17">
        <v>133</v>
      </c>
      <c r="B139" s="17" t="s">
        <v>400</v>
      </c>
      <c r="C139" s="18">
        <v>45548</v>
      </c>
      <c r="D139" s="17" t="s">
        <v>401</v>
      </c>
      <c r="E139" s="17" t="s">
        <v>22</v>
      </c>
      <c r="F139" s="17" t="s">
        <v>402</v>
      </c>
      <c r="G139" s="28">
        <v>15842.18</v>
      </c>
      <c r="H139" s="28">
        <f>G139*28%</f>
        <v>4435.8104000000003</v>
      </c>
      <c r="I139" s="28">
        <f t="shared" si="6"/>
        <v>20277.990400000002</v>
      </c>
      <c r="J139" s="21" t="s">
        <v>35</v>
      </c>
      <c r="K139" s="19" t="s">
        <v>25</v>
      </c>
      <c r="L139" s="22"/>
      <c r="M139" s="22"/>
      <c r="N139" s="22"/>
      <c r="O139" s="23"/>
      <c r="P139" s="24" t="s">
        <v>51</v>
      </c>
      <c r="Q139" s="24" t="s">
        <v>37</v>
      </c>
      <c r="R139" s="26"/>
    </row>
    <row r="140" spans="1:19">
      <c r="A140" s="17">
        <v>134</v>
      </c>
      <c r="B140" s="17" t="s">
        <v>403</v>
      </c>
      <c r="C140" s="18">
        <v>45551</v>
      </c>
      <c r="D140" s="17" t="s">
        <v>134</v>
      </c>
      <c r="E140" s="17" t="s">
        <v>22</v>
      </c>
      <c r="F140" s="17" t="s">
        <v>281</v>
      </c>
      <c r="G140" s="28">
        <v>30800</v>
      </c>
      <c r="H140" s="28">
        <f>G140*18%</f>
        <v>5544</v>
      </c>
      <c r="I140" s="28">
        <f t="shared" si="6"/>
        <v>36344</v>
      </c>
      <c r="J140" s="21" t="s">
        <v>35</v>
      </c>
      <c r="K140" s="19" t="s">
        <v>25</v>
      </c>
      <c r="L140" s="17"/>
      <c r="M140" s="18"/>
      <c r="N140" s="32"/>
      <c r="O140" s="65"/>
      <c r="P140" s="24" t="s">
        <v>137</v>
      </c>
      <c r="Q140" s="24" t="s">
        <v>37</v>
      </c>
      <c r="R140" s="31"/>
    </row>
    <row r="141" spans="1:19">
      <c r="A141" s="17">
        <v>135</v>
      </c>
      <c r="B141" s="17" t="s">
        <v>404</v>
      </c>
      <c r="C141" s="18">
        <v>45553</v>
      </c>
      <c r="D141" s="17" t="s">
        <v>62</v>
      </c>
      <c r="E141" s="17" t="s">
        <v>22</v>
      </c>
      <c r="F141" s="17" t="s">
        <v>63</v>
      </c>
      <c r="G141" s="28">
        <v>7402.6</v>
      </c>
      <c r="H141" s="28">
        <f>G141*18%</f>
        <v>1332.4680000000001</v>
      </c>
      <c r="I141" s="28">
        <f t="shared" si="6"/>
        <v>8735.0680000000011</v>
      </c>
      <c r="J141" s="21" t="s">
        <v>35</v>
      </c>
      <c r="K141" s="19" t="s">
        <v>25</v>
      </c>
      <c r="L141" s="22"/>
      <c r="M141" s="22"/>
      <c r="N141" s="22"/>
      <c r="O141" s="65"/>
      <c r="P141" s="24" t="s">
        <v>51</v>
      </c>
      <c r="Q141" s="25" t="s">
        <v>28</v>
      </c>
      <c r="R141" s="31"/>
      <c r="S141" s="63"/>
    </row>
    <row r="142" spans="1:19">
      <c r="A142" s="17">
        <v>136</v>
      </c>
      <c r="B142" s="17" t="s">
        <v>405</v>
      </c>
      <c r="C142" s="18">
        <v>45553</v>
      </c>
      <c r="D142" s="17" t="s">
        <v>321</v>
      </c>
      <c r="E142" s="17" t="s">
        <v>22</v>
      </c>
      <c r="F142" s="17" t="s">
        <v>322</v>
      </c>
      <c r="G142" s="28">
        <f>606580.8+6065.81</f>
        <v>612646.6100000001</v>
      </c>
      <c r="H142" s="28">
        <f>G142*18%</f>
        <v>110276.38980000002</v>
      </c>
      <c r="I142" s="28">
        <f t="shared" si="6"/>
        <v>722922.99980000011</v>
      </c>
      <c r="J142" s="21" t="s">
        <v>35</v>
      </c>
      <c r="K142" s="19" t="s">
        <v>25</v>
      </c>
      <c r="L142" s="17"/>
      <c r="M142" s="18"/>
      <c r="N142" s="32"/>
      <c r="O142" s="22"/>
      <c r="P142" s="24" t="s">
        <v>36</v>
      </c>
      <c r="Q142" s="25" t="s">
        <v>28</v>
      </c>
      <c r="R142" s="33"/>
      <c r="S142" s="37"/>
    </row>
    <row r="143" spans="1:19">
      <c r="A143" s="17">
        <v>137</v>
      </c>
      <c r="B143" s="17" t="s">
        <v>406</v>
      </c>
      <c r="C143" s="18">
        <v>45555</v>
      </c>
      <c r="D143" s="17" t="s">
        <v>407</v>
      </c>
      <c r="E143" s="17" t="s">
        <v>22</v>
      </c>
      <c r="F143" s="17" t="s">
        <v>408</v>
      </c>
      <c r="G143" s="28">
        <v>385942</v>
      </c>
      <c r="H143" s="28">
        <f>G143*18%</f>
        <v>69469.56</v>
      </c>
      <c r="I143" s="28">
        <f t="shared" si="6"/>
        <v>455411.56</v>
      </c>
      <c r="J143" s="21" t="s">
        <v>35</v>
      </c>
      <c r="K143" s="19" t="s">
        <v>25</v>
      </c>
      <c r="L143" s="22"/>
      <c r="M143" s="22"/>
      <c r="N143" s="22"/>
      <c r="O143" s="65" t="s">
        <v>409</v>
      </c>
      <c r="P143" s="24" t="s">
        <v>27</v>
      </c>
      <c r="Q143" s="24" t="s">
        <v>37</v>
      </c>
      <c r="R143" s="17"/>
    </row>
    <row r="144" spans="1:19" ht="14.25">
      <c r="A144" s="17">
        <v>138</v>
      </c>
      <c r="B144" s="17" t="s">
        <v>410</v>
      </c>
      <c r="C144" s="18">
        <v>45558</v>
      </c>
      <c r="D144" s="17" t="s">
        <v>411</v>
      </c>
      <c r="E144" s="17" t="s">
        <v>22</v>
      </c>
      <c r="F144" s="17" t="s">
        <v>412</v>
      </c>
      <c r="G144" s="28">
        <v>174610</v>
      </c>
      <c r="H144" s="28">
        <f>G144*28%</f>
        <v>48890.8</v>
      </c>
      <c r="I144" s="28">
        <f t="shared" si="6"/>
        <v>223500.79999999999</v>
      </c>
      <c r="J144" s="21" t="s">
        <v>35</v>
      </c>
      <c r="K144" s="19" t="s">
        <v>25</v>
      </c>
      <c r="L144" s="22"/>
      <c r="M144" s="22"/>
      <c r="N144" s="22"/>
      <c r="O144" s="65" t="s">
        <v>195</v>
      </c>
      <c r="P144" s="24" t="s">
        <v>27</v>
      </c>
      <c r="Q144" s="24" t="s">
        <v>37</v>
      </c>
      <c r="R144" s="26" t="s">
        <v>276</v>
      </c>
    </row>
    <row r="145" spans="1:19">
      <c r="A145" s="17">
        <v>139</v>
      </c>
      <c r="B145" s="17" t="s">
        <v>413</v>
      </c>
      <c r="C145" s="18">
        <v>45559</v>
      </c>
      <c r="D145" s="17" t="s">
        <v>82</v>
      </c>
      <c r="E145" s="17" t="s">
        <v>22</v>
      </c>
      <c r="F145" s="17" t="s">
        <v>83</v>
      </c>
      <c r="G145" s="28">
        <v>29430.9</v>
      </c>
      <c r="H145" s="28">
        <f>G145*28%</f>
        <v>8240.6520000000019</v>
      </c>
      <c r="I145" s="28">
        <f t="shared" ref="I145:I293" si="9">G145+H145</f>
        <v>37671.552000000003</v>
      </c>
      <c r="J145" s="21" t="s">
        <v>35</v>
      </c>
      <c r="K145" s="19" t="s">
        <v>25</v>
      </c>
      <c r="L145" s="22"/>
      <c r="M145" s="22"/>
      <c r="N145" s="22"/>
      <c r="O145" s="65"/>
      <c r="P145" s="34" t="s">
        <v>51</v>
      </c>
      <c r="Q145" s="25" t="s">
        <v>28</v>
      </c>
      <c r="R145" s="31"/>
      <c r="S145" s="63"/>
    </row>
    <row r="146" spans="1:19">
      <c r="A146" s="17">
        <v>140</v>
      </c>
      <c r="B146" s="17" t="s">
        <v>414</v>
      </c>
      <c r="C146" s="18">
        <v>45559</v>
      </c>
      <c r="D146" s="17" t="s">
        <v>32</v>
      </c>
      <c r="E146" s="17" t="s">
        <v>22</v>
      </c>
      <c r="F146" s="17" t="s">
        <v>415</v>
      </c>
      <c r="G146" s="28">
        <f>9804+98</f>
        <v>9902</v>
      </c>
      <c r="H146" s="28">
        <f t="shared" ref="H146:H152" si="10">G146*18%</f>
        <v>1782.36</v>
      </c>
      <c r="I146" s="28">
        <f t="shared" si="9"/>
        <v>11684.36</v>
      </c>
      <c r="J146" s="21" t="s">
        <v>35</v>
      </c>
      <c r="K146" s="19" t="s">
        <v>25</v>
      </c>
      <c r="L146" s="22"/>
      <c r="M146" s="22"/>
      <c r="N146" s="22"/>
      <c r="O146" s="22"/>
      <c r="P146" s="34" t="s">
        <v>36</v>
      </c>
      <c r="Q146" s="24" t="s">
        <v>37</v>
      </c>
      <c r="R146" s="33"/>
    </row>
    <row r="147" spans="1:19">
      <c r="A147" s="17">
        <v>141</v>
      </c>
      <c r="B147" s="17" t="s">
        <v>416</v>
      </c>
      <c r="C147" s="18">
        <v>45560</v>
      </c>
      <c r="D147" s="17" t="s">
        <v>242</v>
      </c>
      <c r="E147" s="17" t="s">
        <v>22</v>
      </c>
      <c r="F147" s="17" t="s">
        <v>243</v>
      </c>
      <c r="G147" s="28">
        <v>52084</v>
      </c>
      <c r="H147" s="28">
        <f t="shared" si="10"/>
        <v>9375.119999999999</v>
      </c>
      <c r="I147" s="28">
        <f t="shared" si="9"/>
        <v>61459.119999999995</v>
      </c>
      <c r="J147" s="21" t="s">
        <v>35</v>
      </c>
      <c r="K147" s="19" t="s">
        <v>25</v>
      </c>
      <c r="L147" s="19"/>
      <c r="M147" s="18"/>
      <c r="N147" s="32"/>
      <c r="O147" s="23"/>
      <c r="P147" s="34" t="s">
        <v>51</v>
      </c>
      <c r="Q147" s="25" t="s">
        <v>28</v>
      </c>
      <c r="R147" s="31"/>
    </row>
    <row r="148" spans="1:19">
      <c r="A148" s="17">
        <v>142</v>
      </c>
      <c r="B148" s="17" t="s">
        <v>417</v>
      </c>
      <c r="C148" s="18">
        <v>45561</v>
      </c>
      <c r="D148" s="17" t="s">
        <v>418</v>
      </c>
      <c r="E148" s="17" t="s">
        <v>22</v>
      </c>
      <c r="F148" s="17" t="s">
        <v>419</v>
      </c>
      <c r="G148" s="28">
        <v>30361.5</v>
      </c>
      <c r="H148" s="28">
        <f t="shared" si="10"/>
        <v>5465.07</v>
      </c>
      <c r="I148" s="28">
        <f t="shared" si="9"/>
        <v>35826.57</v>
      </c>
      <c r="J148" s="21" t="s">
        <v>35</v>
      </c>
      <c r="K148" s="19" t="s">
        <v>25</v>
      </c>
      <c r="L148" s="22"/>
      <c r="M148" s="22"/>
      <c r="N148" s="22"/>
      <c r="O148" s="22"/>
      <c r="P148" s="34" t="s">
        <v>36</v>
      </c>
      <c r="Q148" s="24" t="s">
        <v>37</v>
      </c>
      <c r="R148" s="33"/>
    </row>
    <row r="149" spans="1:19">
      <c r="A149" s="17">
        <v>143</v>
      </c>
      <c r="B149" s="17" t="s">
        <v>420</v>
      </c>
      <c r="C149" s="18">
        <v>45561</v>
      </c>
      <c r="D149" s="17" t="s">
        <v>370</v>
      </c>
      <c r="E149" s="17" t="s">
        <v>22</v>
      </c>
      <c r="F149" s="17" t="s">
        <v>371</v>
      </c>
      <c r="G149" s="28">
        <v>7300</v>
      </c>
      <c r="H149" s="28">
        <f t="shared" si="10"/>
        <v>1314</v>
      </c>
      <c r="I149" s="28">
        <f t="shared" si="9"/>
        <v>8614</v>
      </c>
      <c r="J149" s="21" t="s">
        <v>381</v>
      </c>
      <c r="K149" s="19" t="s">
        <v>25</v>
      </c>
      <c r="L149" s="22"/>
      <c r="M149" s="22"/>
      <c r="N149" s="22"/>
      <c r="O149" s="22"/>
      <c r="P149" s="34" t="s">
        <v>216</v>
      </c>
      <c r="Q149" s="24" t="s">
        <v>37</v>
      </c>
      <c r="R149" s="33"/>
    </row>
    <row r="150" spans="1:19">
      <c r="A150" s="17">
        <v>144</v>
      </c>
      <c r="B150" s="17" t="s">
        <v>421</v>
      </c>
      <c r="C150" s="18">
        <v>45562</v>
      </c>
      <c r="D150" s="17" t="s">
        <v>290</v>
      </c>
      <c r="E150" s="17" t="s">
        <v>22</v>
      </c>
      <c r="F150" s="17" t="s">
        <v>422</v>
      </c>
      <c r="G150" s="28">
        <v>15790.85</v>
      </c>
      <c r="H150" s="28">
        <f t="shared" si="10"/>
        <v>2842.3530000000001</v>
      </c>
      <c r="I150" s="28">
        <f t="shared" si="9"/>
        <v>18633.203000000001</v>
      </c>
      <c r="J150" s="21" t="s">
        <v>35</v>
      </c>
      <c r="K150" s="19" t="s">
        <v>25</v>
      </c>
      <c r="L150" s="22"/>
      <c r="M150" s="22"/>
      <c r="N150" s="22"/>
      <c r="O150" s="22"/>
      <c r="P150" s="34" t="s">
        <v>51</v>
      </c>
      <c r="Q150" s="24" t="s">
        <v>37</v>
      </c>
      <c r="R150" s="33"/>
    </row>
    <row r="151" spans="1:19">
      <c r="A151" s="17">
        <v>145</v>
      </c>
      <c r="B151" s="17" t="s">
        <v>423</v>
      </c>
      <c r="C151" s="18">
        <v>45568</v>
      </c>
      <c r="D151" s="17" t="s">
        <v>62</v>
      </c>
      <c r="E151" s="17" t="s">
        <v>22</v>
      </c>
      <c r="F151" s="17" t="s">
        <v>63</v>
      </c>
      <c r="G151" s="28">
        <v>4668</v>
      </c>
      <c r="H151" s="28">
        <f t="shared" si="10"/>
        <v>840.24</v>
      </c>
      <c r="I151" s="28">
        <f t="shared" si="9"/>
        <v>5508.24</v>
      </c>
      <c r="J151" s="21" t="s">
        <v>35</v>
      </c>
      <c r="K151" s="19" t="s">
        <v>25</v>
      </c>
      <c r="L151" s="17"/>
      <c r="M151" s="18"/>
      <c r="N151" s="32"/>
      <c r="O151" s="22"/>
      <c r="P151" s="34" t="s">
        <v>51</v>
      </c>
      <c r="Q151" s="25" t="s">
        <v>28</v>
      </c>
      <c r="R151" s="33"/>
    </row>
    <row r="152" spans="1:19">
      <c r="A152" s="17">
        <v>146</v>
      </c>
      <c r="B152" s="17" t="s">
        <v>424</v>
      </c>
      <c r="C152" s="18">
        <v>45568</v>
      </c>
      <c r="D152" s="17" t="s">
        <v>290</v>
      </c>
      <c r="E152" s="17" t="s">
        <v>22</v>
      </c>
      <c r="F152" s="17" t="s">
        <v>425</v>
      </c>
      <c r="G152" s="28">
        <v>17100</v>
      </c>
      <c r="H152" s="28">
        <f t="shared" si="10"/>
        <v>3078</v>
      </c>
      <c r="I152" s="28">
        <f t="shared" si="9"/>
        <v>20178</v>
      </c>
      <c r="J152" s="21" t="s">
        <v>35</v>
      </c>
      <c r="K152" s="19" t="s">
        <v>25</v>
      </c>
      <c r="L152" s="22"/>
      <c r="M152" s="22"/>
      <c r="N152" s="22"/>
      <c r="O152" s="22"/>
      <c r="P152" s="34" t="s">
        <v>36</v>
      </c>
      <c r="Q152" s="24" t="s">
        <v>37</v>
      </c>
      <c r="R152" s="33"/>
    </row>
    <row r="153" spans="1:19">
      <c r="A153" s="17">
        <v>147</v>
      </c>
      <c r="B153" s="17" t="s">
        <v>426</v>
      </c>
      <c r="C153" s="18">
        <v>45568</v>
      </c>
      <c r="D153" s="17" t="s">
        <v>427</v>
      </c>
      <c r="E153" s="17" t="s">
        <v>22</v>
      </c>
      <c r="F153" s="17" t="s">
        <v>428</v>
      </c>
      <c r="G153" s="28">
        <v>25652.35</v>
      </c>
      <c r="H153" s="28">
        <f>G153*28%</f>
        <v>7182.6580000000004</v>
      </c>
      <c r="I153" s="28">
        <f t="shared" si="9"/>
        <v>32835.008000000002</v>
      </c>
      <c r="J153" s="21" t="s">
        <v>35</v>
      </c>
      <c r="K153" s="19" t="s">
        <v>25</v>
      </c>
      <c r="L153" s="22"/>
      <c r="M153" s="22"/>
      <c r="N153" s="22"/>
      <c r="O153" s="65" t="s">
        <v>429</v>
      </c>
      <c r="P153" s="34" t="s">
        <v>27</v>
      </c>
      <c r="Q153" s="25" t="s">
        <v>28</v>
      </c>
      <c r="R153" s="33"/>
    </row>
    <row r="154" spans="1:19">
      <c r="A154" s="17">
        <v>148</v>
      </c>
      <c r="B154" s="17" t="s">
        <v>430</v>
      </c>
      <c r="C154" s="18">
        <v>45568</v>
      </c>
      <c r="D154" s="17" t="s">
        <v>198</v>
      </c>
      <c r="E154" s="17" t="s">
        <v>199</v>
      </c>
      <c r="F154" s="17" t="s">
        <v>431</v>
      </c>
      <c r="G154" s="28">
        <f>163000+1630</f>
        <v>164630</v>
      </c>
      <c r="H154" s="28">
        <f t="shared" ref="H154:H163" si="11">G154*18%</f>
        <v>29633.399999999998</v>
      </c>
      <c r="I154" s="28">
        <f t="shared" si="9"/>
        <v>194263.4</v>
      </c>
      <c r="J154" s="21" t="s">
        <v>35</v>
      </c>
      <c r="K154" s="19" t="s">
        <v>25</v>
      </c>
      <c r="L154" s="22"/>
      <c r="M154" s="22"/>
      <c r="N154" s="22"/>
      <c r="O154" s="22"/>
      <c r="P154" s="34" t="s">
        <v>36</v>
      </c>
      <c r="Q154" s="25" t="s">
        <v>28</v>
      </c>
      <c r="R154" s="33"/>
    </row>
    <row r="155" spans="1:19">
      <c r="A155" s="17">
        <v>149</v>
      </c>
      <c r="B155" s="17" t="s">
        <v>432</v>
      </c>
      <c r="C155" s="18">
        <v>45569</v>
      </c>
      <c r="D155" s="17" t="s">
        <v>143</v>
      </c>
      <c r="E155" s="17" t="s">
        <v>22</v>
      </c>
      <c r="F155" s="17" t="s">
        <v>144</v>
      </c>
      <c r="G155" s="28">
        <v>6200</v>
      </c>
      <c r="H155" s="28">
        <f t="shared" si="11"/>
        <v>1116</v>
      </c>
      <c r="I155" s="28">
        <f t="shared" si="9"/>
        <v>7316</v>
      </c>
      <c r="J155" s="21" t="s">
        <v>24</v>
      </c>
      <c r="K155" s="19" t="s">
        <v>25</v>
      </c>
      <c r="L155" s="17"/>
      <c r="M155" s="18"/>
      <c r="N155" s="32"/>
      <c r="O155" s="22"/>
      <c r="P155" s="34" t="s">
        <v>216</v>
      </c>
      <c r="Q155" s="25" t="s">
        <v>28</v>
      </c>
      <c r="R155" s="33"/>
    </row>
    <row r="156" spans="1:19">
      <c r="A156" s="17">
        <v>150</v>
      </c>
      <c r="B156" s="17" t="s">
        <v>433</v>
      </c>
      <c r="C156" s="18">
        <v>45573</v>
      </c>
      <c r="D156" s="17" t="s">
        <v>258</v>
      </c>
      <c r="E156" s="17" t="s">
        <v>22</v>
      </c>
      <c r="F156" s="17" t="s">
        <v>434</v>
      </c>
      <c r="G156" s="28">
        <v>55000</v>
      </c>
      <c r="H156" s="28">
        <f t="shared" si="11"/>
        <v>9900</v>
      </c>
      <c r="I156" s="28">
        <f t="shared" si="9"/>
        <v>64900</v>
      </c>
      <c r="J156" s="21" t="s">
        <v>24</v>
      </c>
      <c r="K156" s="19" t="s">
        <v>25</v>
      </c>
      <c r="L156" s="17" t="s">
        <v>435</v>
      </c>
      <c r="M156" s="18">
        <v>45618</v>
      </c>
      <c r="N156" s="32">
        <v>69183</v>
      </c>
      <c r="O156" s="65" t="s">
        <v>429</v>
      </c>
      <c r="P156" s="34" t="s">
        <v>27</v>
      </c>
      <c r="Q156" s="25" t="s">
        <v>28</v>
      </c>
      <c r="R156" s="33"/>
    </row>
    <row r="157" spans="1:19">
      <c r="A157" s="17">
        <v>151</v>
      </c>
      <c r="B157" s="17" t="s">
        <v>436</v>
      </c>
      <c r="C157" s="18">
        <v>45573</v>
      </c>
      <c r="D157" s="17" t="s">
        <v>437</v>
      </c>
      <c r="E157" s="17" t="s">
        <v>311</v>
      </c>
      <c r="F157" s="17" t="s">
        <v>438</v>
      </c>
      <c r="G157" s="28">
        <v>249800</v>
      </c>
      <c r="H157" s="28">
        <f t="shared" si="11"/>
        <v>44964</v>
      </c>
      <c r="I157" s="28">
        <f t="shared" si="9"/>
        <v>294764</v>
      </c>
      <c r="J157" s="21" t="s">
        <v>35</v>
      </c>
      <c r="K157" s="19" t="s">
        <v>25</v>
      </c>
      <c r="L157" s="17"/>
      <c r="M157" s="18"/>
      <c r="N157" s="32"/>
      <c r="O157" s="22"/>
      <c r="P157" s="34" t="s">
        <v>36</v>
      </c>
      <c r="Q157" s="24" t="s">
        <v>37</v>
      </c>
      <c r="R157" s="33"/>
    </row>
    <row r="158" spans="1:19">
      <c r="A158" s="17">
        <f>A157+1</f>
        <v>152</v>
      </c>
      <c r="B158" s="17" t="s">
        <v>439</v>
      </c>
      <c r="C158" s="18">
        <v>45582</v>
      </c>
      <c r="D158" s="17" t="s">
        <v>203</v>
      </c>
      <c r="E158" s="17" t="s">
        <v>22</v>
      </c>
      <c r="F158" s="17" t="s">
        <v>308</v>
      </c>
      <c r="G158" s="28">
        <v>17556</v>
      </c>
      <c r="H158" s="28">
        <f t="shared" si="11"/>
        <v>3160.08</v>
      </c>
      <c r="I158" s="28">
        <f t="shared" si="9"/>
        <v>20716.080000000002</v>
      </c>
      <c r="J158" s="21" t="s">
        <v>35</v>
      </c>
      <c r="K158" s="19" t="s">
        <v>25</v>
      </c>
      <c r="L158" s="17"/>
      <c r="M158" s="18"/>
      <c r="N158" s="32"/>
      <c r="O158" s="22"/>
      <c r="P158" s="34" t="s">
        <v>51</v>
      </c>
      <c r="Q158" s="24" t="s">
        <v>37</v>
      </c>
      <c r="R158" s="33"/>
    </row>
    <row r="159" spans="1:19" ht="25.5">
      <c r="A159" s="17">
        <v>153</v>
      </c>
      <c r="B159" s="17" t="s">
        <v>440</v>
      </c>
      <c r="C159" s="18">
        <v>45583</v>
      </c>
      <c r="D159" s="17" t="s">
        <v>441</v>
      </c>
      <c r="E159" s="17" t="s">
        <v>33</v>
      </c>
      <c r="F159" s="41" t="s">
        <v>442</v>
      </c>
      <c r="G159" s="28">
        <v>1630000</v>
      </c>
      <c r="H159" s="28">
        <f t="shared" si="11"/>
        <v>293400</v>
      </c>
      <c r="I159" s="28">
        <f t="shared" si="9"/>
        <v>1923400</v>
      </c>
      <c r="J159" s="21" t="s">
        <v>35</v>
      </c>
      <c r="K159" s="17" t="s">
        <v>25</v>
      </c>
      <c r="L159" s="17"/>
      <c r="M159" s="18"/>
      <c r="N159" s="28"/>
      <c r="O159" s="65" t="s">
        <v>443</v>
      </c>
      <c r="P159" s="24" t="s">
        <v>27</v>
      </c>
      <c r="Q159" s="24" t="s">
        <v>37</v>
      </c>
      <c r="R159" s="33"/>
    </row>
    <row r="160" spans="1:19">
      <c r="A160" s="17">
        <v>154</v>
      </c>
      <c r="B160" s="17" t="s">
        <v>444</v>
      </c>
      <c r="C160" s="18">
        <v>45583</v>
      </c>
      <c r="D160" s="17" t="s">
        <v>305</v>
      </c>
      <c r="E160" s="17" t="s">
        <v>22</v>
      </c>
      <c r="F160" s="17" t="s">
        <v>445</v>
      </c>
      <c r="G160" s="28">
        <v>2258</v>
      </c>
      <c r="H160" s="28">
        <f t="shared" si="11"/>
        <v>406.44</v>
      </c>
      <c r="I160" s="28">
        <f t="shared" si="9"/>
        <v>2664.44</v>
      </c>
      <c r="J160" s="21" t="s">
        <v>381</v>
      </c>
      <c r="K160" s="19" t="s">
        <v>25</v>
      </c>
      <c r="L160" s="17"/>
      <c r="M160" s="18"/>
      <c r="N160" s="32"/>
      <c r="O160" s="65" t="s">
        <v>429</v>
      </c>
      <c r="P160" s="34" t="s">
        <v>27</v>
      </c>
      <c r="Q160" s="25" t="s">
        <v>28</v>
      </c>
      <c r="R160" s="33"/>
    </row>
    <row r="161" spans="1:19" ht="14.25">
      <c r="A161" s="17">
        <v>155</v>
      </c>
      <c r="B161" s="17" t="s">
        <v>446</v>
      </c>
      <c r="C161" s="18">
        <v>45583</v>
      </c>
      <c r="D161" s="17" t="s">
        <v>255</v>
      </c>
      <c r="E161" s="17" t="s">
        <v>22</v>
      </c>
      <c r="F161" s="17" t="s">
        <v>256</v>
      </c>
      <c r="G161" s="72">
        <v>61400</v>
      </c>
      <c r="H161" s="72">
        <f t="shared" si="11"/>
        <v>11052</v>
      </c>
      <c r="I161" s="72">
        <f t="shared" si="9"/>
        <v>72452</v>
      </c>
      <c r="J161" s="21" t="s">
        <v>35</v>
      </c>
      <c r="K161" s="19" t="s">
        <v>25</v>
      </c>
      <c r="L161" s="17"/>
      <c r="M161" s="18"/>
      <c r="N161" s="32"/>
      <c r="O161" s="65" t="s">
        <v>447</v>
      </c>
      <c r="P161" s="34" t="s">
        <v>79</v>
      </c>
      <c r="Q161" s="24" t="s">
        <v>37</v>
      </c>
      <c r="R161" s="26" t="s">
        <v>448</v>
      </c>
    </row>
    <row r="162" spans="1:19">
      <c r="A162" s="17">
        <v>156</v>
      </c>
      <c r="B162" s="17" t="s">
        <v>449</v>
      </c>
      <c r="C162" s="18">
        <v>45583</v>
      </c>
      <c r="D162" s="17" t="s">
        <v>450</v>
      </c>
      <c r="E162" s="17" t="s">
        <v>157</v>
      </c>
      <c r="F162" s="17" t="s">
        <v>451</v>
      </c>
      <c r="G162" s="28">
        <v>37500</v>
      </c>
      <c r="H162" s="28">
        <f t="shared" si="11"/>
        <v>6750</v>
      </c>
      <c r="I162" s="28">
        <f t="shared" si="9"/>
        <v>44250</v>
      </c>
      <c r="J162" s="21" t="s">
        <v>35</v>
      </c>
      <c r="K162" s="19" t="s">
        <v>25</v>
      </c>
      <c r="L162" s="17"/>
      <c r="M162" s="18"/>
      <c r="N162" s="32"/>
      <c r="O162" s="22"/>
      <c r="P162" s="34" t="s">
        <v>36</v>
      </c>
      <c r="Q162" s="25" t="s">
        <v>28</v>
      </c>
      <c r="R162" s="33"/>
    </row>
    <row r="163" spans="1:19">
      <c r="A163" s="17">
        <v>157</v>
      </c>
      <c r="B163" s="17" t="s">
        <v>452</v>
      </c>
      <c r="C163" s="18">
        <v>45583</v>
      </c>
      <c r="D163" s="17" t="s">
        <v>453</v>
      </c>
      <c r="E163" s="17" t="s">
        <v>311</v>
      </c>
      <c r="F163" s="17" t="s">
        <v>454</v>
      </c>
      <c r="G163" s="28">
        <f>13892+347.3</f>
        <v>14239.3</v>
      </c>
      <c r="H163" s="28">
        <f t="shared" si="11"/>
        <v>2563.0739999999996</v>
      </c>
      <c r="I163" s="28">
        <f t="shared" si="9"/>
        <v>16802.374</v>
      </c>
      <c r="J163" s="21" t="s">
        <v>35</v>
      </c>
      <c r="K163" s="19" t="s">
        <v>25</v>
      </c>
      <c r="L163" s="17"/>
      <c r="M163" s="18"/>
      <c r="N163" s="32"/>
      <c r="O163" s="65"/>
      <c r="P163" s="34" t="s">
        <v>36</v>
      </c>
      <c r="Q163" s="25" t="s">
        <v>28</v>
      </c>
      <c r="R163" s="31"/>
    </row>
    <row r="164" spans="1:19">
      <c r="A164" s="17">
        <v>158</v>
      </c>
      <c r="B164" s="17" t="s">
        <v>455</v>
      </c>
      <c r="C164" s="18">
        <v>45586</v>
      </c>
      <c r="D164" s="17" t="s">
        <v>242</v>
      </c>
      <c r="E164" s="17" t="s">
        <v>22</v>
      </c>
      <c r="F164" s="17" t="s">
        <v>243</v>
      </c>
      <c r="G164" s="28">
        <v>584625</v>
      </c>
      <c r="H164" s="28">
        <f>G164*18%</f>
        <v>105232.5</v>
      </c>
      <c r="I164" s="28">
        <f t="shared" si="9"/>
        <v>689857.5</v>
      </c>
      <c r="J164" s="21" t="s">
        <v>24</v>
      </c>
      <c r="K164" s="19" t="s">
        <v>25</v>
      </c>
      <c r="L164" s="17"/>
      <c r="M164" s="18"/>
      <c r="N164" s="32"/>
      <c r="O164" s="22"/>
      <c r="P164" s="34" t="s">
        <v>51</v>
      </c>
      <c r="Q164" s="25" t="s">
        <v>28</v>
      </c>
      <c r="R164" s="33"/>
    </row>
    <row r="165" spans="1:19" ht="14.25">
      <c r="A165" s="17">
        <v>159</v>
      </c>
      <c r="B165" s="17" t="s">
        <v>456</v>
      </c>
      <c r="C165" s="18">
        <v>45586</v>
      </c>
      <c r="D165" s="17" t="s">
        <v>457</v>
      </c>
      <c r="E165" s="17" t="s">
        <v>22</v>
      </c>
      <c r="F165" s="17" t="s">
        <v>458</v>
      </c>
      <c r="G165" s="28">
        <v>9257</v>
      </c>
      <c r="H165" s="28">
        <f>G165*18%</f>
        <v>1666.26</v>
      </c>
      <c r="I165" s="28">
        <f t="shared" si="9"/>
        <v>10923.26</v>
      </c>
      <c r="J165" s="21" t="s">
        <v>131</v>
      </c>
      <c r="K165" s="19" t="s">
        <v>25</v>
      </c>
      <c r="L165" s="17"/>
      <c r="M165" s="18"/>
      <c r="N165" s="32"/>
      <c r="O165" s="65" t="s">
        <v>447</v>
      </c>
      <c r="P165" s="34" t="s">
        <v>27</v>
      </c>
      <c r="Q165" s="25" t="s">
        <v>28</v>
      </c>
      <c r="R165" s="26" t="s">
        <v>448</v>
      </c>
      <c r="S165" s="73" t="s">
        <v>459</v>
      </c>
    </row>
    <row r="166" spans="1:19">
      <c r="A166" s="17">
        <v>160</v>
      </c>
      <c r="B166" s="17" t="s">
        <v>460</v>
      </c>
      <c r="C166" s="18">
        <v>45588</v>
      </c>
      <c r="D166" s="17" t="s">
        <v>300</v>
      </c>
      <c r="E166" s="17" t="s">
        <v>301</v>
      </c>
      <c r="F166" s="17" t="s">
        <v>461</v>
      </c>
      <c r="G166" s="28">
        <v>42900</v>
      </c>
      <c r="H166" s="28">
        <f>G166*18%</f>
        <v>7722</v>
      </c>
      <c r="I166" s="28">
        <f t="shared" si="9"/>
        <v>50622</v>
      </c>
      <c r="J166" s="21" t="s">
        <v>24</v>
      </c>
      <c r="K166" s="19" t="s">
        <v>25</v>
      </c>
      <c r="L166" s="17"/>
      <c r="M166" s="18"/>
      <c r="N166" s="32"/>
      <c r="O166" s="22"/>
      <c r="P166" s="34" t="s">
        <v>36</v>
      </c>
      <c r="Q166" s="25" t="s">
        <v>28</v>
      </c>
      <c r="R166" s="33"/>
    </row>
    <row r="167" spans="1:19">
      <c r="A167" s="17">
        <v>161</v>
      </c>
      <c r="B167" s="17" t="s">
        <v>462</v>
      </c>
      <c r="C167" s="18">
        <v>45589</v>
      </c>
      <c r="D167" s="17" t="s">
        <v>258</v>
      </c>
      <c r="E167" s="17" t="s">
        <v>22</v>
      </c>
      <c r="F167" s="17" t="s">
        <v>463</v>
      </c>
      <c r="G167" s="28">
        <v>94900</v>
      </c>
      <c r="H167" s="28">
        <f>G167*18%</f>
        <v>17082</v>
      </c>
      <c r="I167" s="28">
        <f t="shared" si="9"/>
        <v>111982</v>
      </c>
      <c r="J167" s="21" t="s">
        <v>381</v>
      </c>
      <c r="K167" s="19" t="s">
        <v>25</v>
      </c>
      <c r="L167" s="17"/>
      <c r="M167" s="18"/>
      <c r="N167" s="32"/>
      <c r="O167" s="65" t="s">
        <v>429</v>
      </c>
      <c r="P167" s="34" t="s">
        <v>27</v>
      </c>
      <c r="Q167" s="25" t="s">
        <v>28</v>
      </c>
      <c r="R167" s="33"/>
    </row>
    <row r="168" spans="1:19" ht="12.75" customHeight="1">
      <c r="A168" s="17">
        <v>162</v>
      </c>
      <c r="B168" s="17" t="s">
        <v>464</v>
      </c>
      <c r="C168" s="18">
        <v>45590</v>
      </c>
      <c r="D168" s="17" t="s">
        <v>465</v>
      </c>
      <c r="E168" s="17" t="s">
        <v>22</v>
      </c>
      <c r="F168" s="17" t="s">
        <v>466</v>
      </c>
      <c r="G168" s="28">
        <v>26595.599999999999</v>
      </c>
      <c r="H168" s="28">
        <v>7404.4</v>
      </c>
      <c r="I168" s="28">
        <f t="shared" si="9"/>
        <v>34000</v>
      </c>
      <c r="J168" s="21" t="s">
        <v>24</v>
      </c>
      <c r="K168" s="19" t="s">
        <v>25</v>
      </c>
      <c r="L168" s="17"/>
      <c r="M168" s="18"/>
      <c r="N168" s="32"/>
      <c r="O168" s="65" t="s">
        <v>467</v>
      </c>
      <c r="P168" s="34" t="s">
        <v>27</v>
      </c>
      <c r="Q168" s="24" t="s">
        <v>37</v>
      </c>
      <c r="R168" s="74" t="s">
        <v>468</v>
      </c>
      <c r="S168" s="4" t="s">
        <v>469</v>
      </c>
    </row>
    <row r="169" spans="1:19" ht="12.75" customHeight="1">
      <c r="A169" s="17">
        <v>163</v>
      </c>
      <c r="B169" s="17" t="s">
        <v>470</v>
      </c>
      <c r="C169" s="18">
        <v>45594</v>
      </c>
      <c r="D169" s="17" t="s">
        <v>471</v>
      </c>
      <c r="E169" s="17" t="s">
        <v>157</v>
      </c>
      <c r="F169" s="17" t="s">
        <v>472</v>
      </c>
      <c r="G169" s="28">
        <v>12825</v>
      </c>
      <c r="H169" s="28">
        <f>G169*18%</f>
        <v>2308.5</v>
      </c>
      <c r="I169" s="28">
        <f t="shared" si="9"/>
        <v>15133.5</v>
      </c>
      <c r="J169" s="21" t="s">
        <v>24</v>
      </c>
      <c r="K169" s="19" t="s">
        <v>25</v>
      </c>
      <c r="L169" s="17"/>
      <c r="M169" s="18"/>
      <c r="N169" s="32"/>
      <c r="O169" s="65"/>
      <c r="P169" s="34" t="s">
        <v>36</v>
      </c>
      <c r="Q169" s="25" t="s">
        <v>28</v>
      </c>
      <c r="R169" s="31"/>
    </row>
    <row r="170" spans="1:19" ht="14.25">
      <c r="A170" s="17">
        <v>164</v>
      </c>
      <c r="B170" s="17" t="s">
        <v>473</v>
      </c>
      <c r="C170" s="18">
        <v>45594</v>
      </c>
      <c r="D170" s="17" t="s">
        <v>411</v>
      </c>
      <c r="E170" s="17" t="s">
        <v>22</v>
      </c>
      <c r="F170" s="17" t="s">
        <v>428</v>
      </c>
      <c r="G170" s="28">
        <v>21875</v>
      </c>
      <c r="H170" s="28">
        <f>G170*28%</f>
        <v>6125.0000000000009</v>
      </c>
      <c r="I170" s="28">
        <f t="shared" si="9"/>
        <v>28000</v>
      </c>
      <c r="J170" s="21" t="s">
        <v>24</v>
      </c>
      <c r="K170" s="19" t="s">
        <v>25</v>
      </c>
      <c r="L170" s="17"/>
      <c r="M170" s="18"/>
      <c r="N170" s="32"/>
      <c r="O170" s="23" t="s">
        <v>474</v>
      </c>
      <c r="P170" s="34" t="s">
        <v>27</v>
      </c>
      <c r="Q170" s="24" t="s">
        <v>37</v>
      </c>
      <c r="R170" s="74" t="s">
        <v>475</v>
      </c>
      <c r="S170" s="4" t="s">
        <v>476</v>
      </c>
    </row>
    <row r="171" spans="1:19">
      <c r="A171" s="17">
        <v>165</v>
      </c>
      <c r="B171" s="17" t="s">
        <v>477</v>
      </c>
      <c r="C171" s="18">
        <v>45595</v>
      </c>
      <c r="D171" s="17" t="s">
        <v>338</v>
      </c>
      <c r="E171" s="17" t="s">
        <v>22</v>
      </c>
      <c r="F171" s="17" t="s">
        <v>478</v>
      </c>
      <c r="G171" s="28">
        <v>102780</v>
      </c>
      <c r="H171" s="28">
        <f t="shared" ref="H171:H240" si="12">G171*18%</f>
        <v>18500.399999999998</v>
      </c>
      <c r="I171" s="28">
        <f t="shared" si="9"/>
        <v>121280.4</v>
      </c>
      <c r="J171" s="21" t="s">
        <v>381</v>
      </c>
      <c r="K171" s="19" t="s">
        <v>25</v>
      </c>
      <c r="L171" s="17"/>
      <c r="M171" s="18"/>
      <c r="N171" s="32"/>
      <c r="O171" s="65" t="s">
        <v>429</v>
      </c>
      <c r="P171" s="34" t="s">
        <v>27</v>
      </c>
      <c r="Q171" s="25" t="s">
        <v>28</v>
      </c>
      <c r="R171" s="33"/>
    </row>
    <row r="172" spans="1:19">
      <c r="A172" s="17">
        <v>166</v>
      </c>
      <c r="B172" s="17" t="s">
        <v>479</v>
      </c>
      <c r="C172" s="18">
        <v>45598</v>
      </c>
      <c r="D172" s="17" t="s">
        <v>480</v>
      </c>
      <c r="E172" s="17" t="s">
        <v>22</v>
      </c>
      <c r="F172" s="17" t="s">
        <v>481</v>
      </c>
      <c r="G172" s="28">
        <v>43344</v>
      </c>
      <c r="H172" s="28">
        <f t="shared" si="12"/>
        <v>7801.92</v>
      </c>
      <c r="I172" s="28">
        <f t="shared" si="9"/>
        <v>51145.919999999998</v>
      </c>
      <c r="J172" s="21" t="s">
        <v>35</v>
      </c>
      <c r="K172" s="19" t="s">
        <v>25</v>
      </c>
      <c r="L172" s="17"/>
      <c r="M172" s="18"/>
      <c r="N172" s="32"/>
      <c r="O172" s="22"/>
      <c r="P172" s="34" t="s">
        <v>51</v>
      </c>
      <c r="Q172" s="24" t="s">
        <v>37</v>
      </c>
      <c r="R172" s="33"/>
    </row>
    <row r="173" spans="1:19">
      <c r="A173" s="17">
        <v>167</v>
      </c>
      <c r="B173" s="17" t="s">
        <v>482</v>
      </c>
      <c r="C173" s="18">
        <v>45600</v>
      </c>
      <c r="D173" s="17" t="s">
        <v>483</v>
      </c>
      <c r="E173" s="17" t="s">
        <v>199</v>
      </c>
      <c r="F173" s="17" t="s">
        <v>484</v>
      </c>
      <c r="G173" s="28">
        <f>62684+5000</f>
        <v>67684</v>
      </c>
      <c r="H173" s="28">
        <f t="shared" si="12"/>
        <v>12183.119999999999</v>
      </c>
      <c r="I173" s="28">
        <f t="shared" si="9"/>
        <v>79867.12</v>
      </c>
      <c r="J173" s="21" t="s">
        <v>24</v>
      </c>
      <c r="K173" s="19" t="s">
        <v>25</v>
      </c>
      <c r="L173" s="17"/>
      <c r="M173" s="18"/>
      <c r="N173" s="32"/>
      <c r="O173" s="22"/>
      <c r="P173" s="34" t="s">
        <v>36</v>
      </c>
      <c r="Q173" s="24" t="s">
        <v>37</v>
      </c>
      <c r="R173" s="33"/>
    </row>
    <row r="174" spans="1:19">
      <c r="A174" s="17">
        <v>168</v>
      </c>
      <c r="B174" s="17" t="s">
        <v>485</v>
      </c>
      <c r="C174" s="18">
        <v>45601</v>
      </c>
      <c r="D174" s="17" t="s">
        <v>486</v>
      </c>
      <c r="E174" s="17" t="s">
        <v>22</v>
      </c>
      <c r="F174" s="17" t="s">
        <v>487</v>
      </c>
      <c r="G174" s="28">
        <v>8200</v>
      </c>
      <c r="H174" s="28">
        <f t="shared" si="12"/>
        <v>1476</v>
      </c>
      <c r="I174" s="28">
        <f t="shared" si="9"/>
        <v>9676</v>
      </c>
      <c r="J174" s="21" t="s">
        <v>24</v>
      </c>
      <c r="K174" s="19" t="s">
        <v>25</v>
      </c>
      <c r="L174" s="17"/>
      <c r="M174" s="18"/>
      <c r="N174" s="32"/>
      <c r="O174" s="23"/>
      <c r="P174" s="34" t="s">
        <v>36</v>
      </c>
      <c r="Q174" s="25" t="s">
        <v>28</v>
      </c>
      <c r="R174" s="31"/>
    </row>
    <row r="175" spans="1:19">
      <c r="A175" s="17">
        <v>169</v>
      </c>
      <c r="B175" s="17" t="s">
        <v>488</v>
      </c>
      <c r="C175" s="18">
        <v>45601</v>
      </c>
      <c r="D175" s="17" t="s">
        <v>407</v>
      </c>
      <c r="E175" s="17" t="s">
        <v>22</v>
      </c>
      <c r="F175" s="17" t="s">
        <v>489</v>
      </c>
      <c r="G175" s="28">
        <v>201405</v>
      </c>
      <c r="H175" s="28">
        <f t="shared" si="12"/>
        <v>36252.9</v>
      </c>
      <c r="I175" s="28">
        <f t="shared" si="9"/>
        <v>237657.9</v>
      </c>
      <c r="J175" s="21" t="s">
        <v>35</v>
      </c>
      <c r="K175" s="19" t="s">
        <v>25</v>
      </c>
      <c r="L175" s="17"/>
      <c r="M175" s="18"/>
      <c r="N175" s="32"/>
      <c r="O175" s="23" t="s">
        <v>409</v>
      </c>
      <c r="P175" s="34" t="s">
        <v>27</v>
      </c>
      <c r="Q175" s="24" t="s">
        <v>37</v>
      </c>
      <c r="R175" s="31"/>
    </row>
    <row r="176" spans="1:19">
      <c r="A176" s="17">
        <v>170</v>
      </c>
      <c r="B176" s="17" t="s">
        <v>490</v>
      </c>
      <c r="C176" s="18">
        <v>45601</v>
      </c>
      <c r="D176" s="17" t="s">
        <v>491</v>
      </c>
      <c r="E176" s="17" t="s">
        <v>22</v>
      </c>
      <c r="F176" s="17" t="s">
        <v>492</v>
      </c>
      <c r="G176" s="28">
        <v>299000</v>
      </c>
      <c r="H176" s="28">
        <f t="shared" si="12"/>
        <v>53820</v>
      </c>
      <c r="I176" s="28">
        <f t="shared" si="9"/>
        <v>352820</v>
      </c>
      <c r="J176" s="21" t="s">
        <v>35</v>
      </c>
      <c r="K176" s="19" t="s">
        <v>25</v>
      </c>
      <c r="L176" s="17"/>
      <c r="M176" s="18"/>
      <c r="N176" s="32"/>
      <c r="O176" s="23" t="s">
        <v>409</v>
      </c>
      <c r="P176" s="34" t="s">
        <v>27</v>
      </c>
      <c r="Q176" s="25" t="s">
        <v>28</v>
      </c>
      <c r="R176" s="31"/>
    </row>
    <row r="177" spans="1:19">
      <c r="A177" s="17">
        <v>171</v>
      </c>
      <c r="B177" s="17" t="s">
        <v>493</v>
      </c>
      <c r="C177" s="18">
        <v>45604</v>
      </c>
      <c r="D177" s="17" t="s">
        <v>494</v>
      </c>
      <c r="E177" s="17" t="s">
        <v>22</v>
      </c>
      <c r="F177" s="17" t="s">
        <v>495</v>
      </c>
      <c r="G177" s="28">
        <v>6650</v>
      </c>
      <c r="H177" s="28">
        <f t="shared" si="12"/>
        <v>1197</v>
      </c>
      <c r="I177" s="28">
        <f t="shared" si="9"/>
        <v>7847</v>
      </c>
      <c r="J177" s="21" t="s">
        <v>35</v>
      </c>
      <c r="K177" s="19" t="s">
        <v>25</v>
      </c>
      <c r="L177" s="17"/>
      <c r="M177" s="18"/>
      <c r="N177" s="32"/>
      <c r="O177" s="23"/>
      <c r="P177" s="34" t="s">
        <v>36</v>
      </c>
      <c r="Q177" s="24" t="s">
        <v>37</v>
      </c>
      <c r="R177" s="31"/>
      <c r="S177" s="75"/>
    </row>
    <row r="178" spans="1:19" ht="14.25">
      <c r="A178" s="17">
        <v>172</v>
      </c>
      <c r="B178" s="17" t="s">
        <v>496</v>
      </c>
      <c r="C178" s="18">
        <v>45604</v>
      </c>
      <c r="D178" s="27" t="s">
        <v>278</v>
      </c>
      <c r="E178" s="27" t="s">
        <v>22</v>
      </c>
      <c r="F178" s="17" t="s">
        <v>497</v>
      </c>
      <c r="G178" s="28">
        <v>59200</v>
      </c>
      <c r="H178" s="28">
        <f t="shared" si="12"/>
        <v>10656</v>
      </c>
      <c r="I178" s="28">
        <f t="shared" si="9"/>
        <v>69856</v>
      </c>
      <c r="J178" s="21" t="s">
        <v>381</v>
      </c>
      <c r="K178" s="19" t="s">
        <v>25</v>
      </c>
      <c r="L178" s="17"/>
      <c r="M178" s="18"/>
      <c r="N178" s="32"/>
      <c r="O178" s="65" t="s">
        <v>474</v>
      </c>
      <c r="P178" s="34" t="s">
        <v>27</v>
      </c>
      <c r="Q178" s="25" t="s">
        <v>28</v>
      </c>
      <c r="R178" s="74" t="s">
        <v>475</v>
      </c>
    </row>
    <row r="179" spans="1:19">
      <c r="A179" s="17">
        <v>173</v>
      </c>
      <c r="B179" s="17" t="s">
        <v>498</v>
      </c>
      <c r="C179" s="18">
        <v>45604</v>
      </c>
      <c r="D179" s="17" t="s">
        <v>499</v>
      </c>
      <c r="E179" s="17" t="s">
        <v>33</v>
      </c>
      <c r="F179" s="17" t="s">
        <v>500</v>
      </c>
      <c r="G179" s="28">
        <f>76560+1531.2</f>
        <v>78091.199999999997</v>
      </c>
      <c r="H179" s="28">
        <f t="shared" si="12"/>
        <v>14056.415999999999</v>
      </c>
      <c r="I179" s="28">
        <f t="shared" si="9"/>
        <v>92147.615999999995</v>
      </c>
      <c r="J179" s="76" t="s">
        <v>35</v>
      </c>
      <c r="K179" s="19" t="s">
        <v>25</v>
      </c>
      <c r="L179" s="17"/>
      <c r="M179" s="18"/>
      <c r="N179" s="32"/>
      <c r="O179" s="22"/>
      <c r="P179" s="34" t="s">
        <v>36</v>
      </c>
      <c r="Q179" s="24" t="s">
        <v>37</v>
      </c>
      <c r="R179" s="33"/>
    </row>
    <row r="180" spans="1:19">
      <c r="A180" s="17">
        <v>174</v>
      </c>
      <c r="B180" s="17" t="s">
        <v>501</v>
      </c>
      <c r="C180" s="18">
        <v>45607</v>
      </c>
      <c r="D180" s="17" t="s">
        <v>502</v>
      </c>
      <c r="E180" s="17" t="s">
        <v>22</v>
      </c>
      <c r="F180" s="17" t="s">
        <v>503</v>
      </c>
      <c r="G180" s="32">
        <v>90250</v>
      </c>
      <c r="H180" s="28">
        <f t="shared" si="12"/>
        <v>16245</v>
      </c>
      <c r="I180" s="28">
        <f t="shared" si="9"/>
        <v>106495</v>
      </c>
      <c r="J180" s="76" t="s">
        <v>35</v>
      </c>
      <c r="K180" s="19" t="s">
        <v>25</v>
      </c>
      <c r="L180" s="17"/>
      <c r="M180" s="18"/>
      <c r="N180" s="32"/>
      <c r="O180" s="22"/>
      <c r="P180" s="34" t="s">
        <v>36</v>
      </c>
      <c r="Q180" s="24" t="s">
        <v>37</v>
      </c>
      <c r="R180" s="33"/>
    </row>
    <row r="181" spans="1:19">
      <c r="A181" s="17">
        <v>175</v>
      </c>
      <c r="B181" s="17" t="s">
        <v>504</v>
      </c>
      <c r="C181" s="18">
        <v>45607</v>
      </c>
      <c r="D181" s="17" t="s">
        <v>505</v>
      </c>
      <c r="E181" s="17" t="s">
        <v>22</v>
      </c>
      <c r="F181" s="17" t="s">
        <v>506</v>
      </c>
      <c r="G181" s="32">
        <v>134037.51</v>
      </c>
      <c r="H181" s="32">
        <f t="shared" si="12"/>
        <v>24126.751800000002</v>
      </c>
      <c r="I181" s="32">
        <f t="shared" si="9"/>
        <v>158164.26180000001</v>
      </c>
      <c r="J181" s="76" t="s">
        <v>35</v>
      </c>
      <c r="K181" s="19" t="s">
        <v>25</v>
      </c>
      <c r="L181" s="17"/>
      <c r="M181" s="18"/>
      <c r="N181" s="32"/>
      <c r="O181" s="22"/>
      <c r="P181" s="34" t="s">
        <v>36</v>
      </c>
      <c r="Q181" s="24" t="s">
        <v>37</v>
      </c>
      <c r="R181" s="33"/>
    </row>
    <row r="182" spans="1:19">
      <c r="A182" s="17">
        <v>176</v>
      </c>
      <c r="B182" s="17" t="s">
        <v>507</v>
      </c>
      <c r="C182" s="18">
        <v>45607</v>
      </c>
      <c r="D182" s="17" t="s">
        <v>40</v>
      </c>
      <c r="E182" s="17" t="s">
        <v>22</v>
      </c>
      <c r="F182" s="17" t="s">
        <v>508</v>
      </c>
      <c r="G182" s="32">
        <v>44842.13</v>
      </c>
      <c r="H182" s="32">
        <f t="shared" si="12"/>
        <v>8071.5833999999995</v>
      </c>
      <c r="I182" s="32">
        <f t="shared" si="9"/>
        <v>52913.713399999993</v>
      </c>
      <c r="J182" s="76" t="s">
        <v>35</v>
      </c>
      <c r="K182" s="19" t="s">
        <v>25</v>
      </c>
      <c r="L182" s="17"/>
      <c r="M182" s="18"/>
      <c r="N182" s="32"/>
      <c r="O182" s="23"/>
      <c r="P182" s="34" t="s">
        <v>36</v>
      </c>
      <c r="Q182" s="24" t="s">
        <v>37</v>
      </c>
      <c r="R182" s="31"/>
    </row>
    <row r="183" spans="1:19" ht="14.25">
      <c r="A183" s="17">
        <v>177</v>
      </c>
      <c r="B183" s="17" t="s">
        <v>509</v>
      </c>
      <c r="C183" s="18">
        <v>45608</v>
      </c>
      <c r="D183" s="17" t="s">
        <v>510</v>
      </c>
      <c r="E183" s="17" t="s">
        <v>22</v>
      </c>
      <c r="F183" s="17" t="s">
        <v>511</v>
      </c>
      <c r="G183" s="32">
        <v>8250</v>
      </c>
      <c r="H183" s="32">
        <f t="shared" si="12"/>
        <v>1485</v>
      </c>
      <c r="I183" s="32">
        <f t="shared" si="9"/>
        <v>9735</v>
      </c>
      <c r="J183" s="76" t="s">
        <v>381</v>
      </c>
      <c r="K183" s="19" t="s">
        <v>25</v>
      </c>
      <c r="L183" s="17"/>
      <c r="M183" s="18"/>
      <c r="N183" s="32"/>
      <c r="O183" s="65" t="s">
        <v>474</v>
      </c>
      <c r="P183" s="34" t="s">
        <v>27</v>
      </c>
      <c r="Q183" s="25" t="s">
        <v>28</v>
      </c>
      <c r="R183" s="74" t="s">
        <v>475</v>
      </c>
    </row>
    <row r="184" spans="1:19" ht="14.25">
      <c r="A184" s="17">
        <v>178</v>
      </c>
      <c r="B184" s="17" t="s">
        <v>512</v>
      </c>
      <c r="C184" s="18">
        <v>45610</v>
      </c>
      <c r="D184" s="17" t="s">
        <v>338</v>
      </c>
      <c r="E184" s="17" t="s">
        <v>22</v>
      </c>
      <c r="F184" s="17" t="s">
        <v>478</v>
      </c>
      <c r="G184" s="32">
        <v>39450</v>
      </c>
      <c r="H184" s="32">
        <f t="shared" si="12"/>
        <v>7101</v>
      </c>
      <c r="I184" s="32">
        <f t="shared" si="9"/>
        <v>46551</v>
      </c>
      <c r="J184" s="76" t="s">
        <v>381</v>
      </c>
      <c r="K184" s="19" t="s">
        <v>25</v>
      </c>
      <c r="L184" s="17"/>
      <c r="M184" s="18"/>
      <c r="N184" s="32"/>
      <c r="O184" s="65" t="s">
        <v>474</v>
      </c>
      <c r="P184" s="34" t="s">
        <v>27</v>
      </c>
      <c r="Q184" s="25" t="s">
        <v>28</v>
      </c>
      <c r="R184" s="74" t="s">
        <v>475</v>
      </c>
    </row>
    <row r="185" spans="1:19">
      <c r="A185" s="17">
        <v>179</v>
      </c>
      <c r="B185" s="17" t="s">
        <v>513</v>
      </c>
      <c r="C185" s="18">
        <v>45612</v>
      </c>
      <c r="D185" s="17" t="s">
        <v>290</v>
      </c>
      <c r="E185" s="17" t="s">
        <v>22</v>
      </c>
      <c r="F185" s="17" t="s">
        <v>514</v>
      </c>
      <c r="G185" s="32">
        <v>10900</v>
      </c>
      <c r="H185" s="32">
        <f t="shared" si="12"/>
        <v>1962</v>
      </c>
      <c r="I185" s="32">
        <f t="shared" si="9"/>
        <v>12862</v>
      </c>
      <c r="J185" s="76" t="s">
        <v>131</v>
      </c>
      <c r="K185" s="19" t="s">
        <v>25</v>
      </c>
      <c r="L185" s="17"/>
      <c r="M185" s="18"/>
      <c r="N185" s="32"/>
      <c r="O185" s="23"/>
      <c r="P185" s="34" t="s">
        <v>515</v>
      </c>
      <c r="Q185" s="24" t="s">
        <v>37</v>
      </c>
      <c r="R185" s="74"/>
    </row>
    <row r="186" spans="1:19">
      <c r="A186" s="17">
        <v>180</v>
      </c>
      <c r="B186" s="17" t="s">
        <v>516</v>
      </c>
      <c r="C186" s="18">
        <v>45612</v>
      </c>
      <c r="D186" s="17" t="s">
        <v>126</v>
      </c>
      <c r="E186" s="17" t="s">
        <v>22</v>
      </c>
      <c r="F186" s="17" t="s">
        <v>517</v>
      </c>
      <c r="G186" s="32">
        <v>441438</v>
      </c>
      <c r="H186" s="32">
        <f t="shared" si="12"/>
        <v>79458.84</v>
      </c>
      <c r="I186" s="32">
        <f t="shared" si="9"/>
        <v>520896.83999999997</v>
      </c>
      <c r="J186" s="76" t="s">
        <v>35</v>
      </c>
      <c r="K186" s="19" t="s">
        <v>25</v>
      </c>
      <c r="L186" s="17"/>
      <c r="M186" s="18"/>
      <c r="N186" s="32"/>
      <c r="O186" s="65"/>
      <c r="P186" s="34" t="s">
        <v>36</v>
      </c>
      <c r="Q186" s="24" t="s">
        <v>37</v>
      </c>
      <c r="R186" s="31"/>
      <c r="S186" s="39"/>
    </row>
    <row r="187" spans="1:19" ht="14.25">
      <c r="A187" s="17">
        <v>181</v>
      </c>
      <c r="B187" s="17" t="s">
        <v>518</v>
      </c>
      <c r="C187" s="18">
        <v>45614</v>
      </c>
      <c r="D187" s="17" t="s">
        <v>389</v>
      </c>
      <c r="E187" s="17" t="s">
        <v>22</v>
      </c>
      <c r="F187" s="17" t="s">
        <v>519</v>
      </c>
      <c r="G187" s="32">
        <v>12670</v>
      </c>
      <c r="H187" s="32">
        <f t="shared" si="12"/>
        <v>2280.6</v>
      </c>
      <c r="I187" s="32">
        <f t="shared" si="9"/>
        <v>14950.6</v>
      </c>
      <c r="J187" s="76" t="s">
        <v>381</v>
      </c>
      <c r="K187" s="19" t="s">
        <v>25</v>
      </c>
      <c r="L187" s="17"/>
      <c r="M187" s="18"/>
      <c r="N187" s="32"/>
      <c r="O187" s="23" t="s">
        <v>467</v>
      </c>
      <c r="P187" s="34" t="s">
        <v>27</v>
      </c>
      <c r="Q187" s="24" t="s">
        <v>37</v>
      </c>
      <c r="R187" s="74" t="s">
        <v>468</v>
      </c>
    </row>
    <row r="188" spans="1:19" ht="14.25">
      <c r="A188" s="17">
        <v>182</v>
      </c>
      <c r="B188" s="17" t="s">
        <v>520</v>
      </c>
      <c r="C188" s="18">
        <v>45617</v>
      </c>
      <c r="D188" s="17" t="s">
        <v>218</v>
      </c>
      <c r="E188" s="17" t="s">
        <v>22</v>
      </c>
      <c r="F188" s="17" t="s">
        <v>521</v>
      </c>
      <c r="G188" s="32">
        <v>362250</v>
      </c>
      <c r="H188" s="32">
        <f t="shared" si="12"/>
        <v>65205</v>
      </c>
      <c r="I188" s="32">
        <f t="shared" si="9"/>
        <v>427455</v>
      </c>
      <c r="J188" s="76" t="s">
        <v>24</v>
      </c>
      <c r="K188" s="19" t="s">
        <v>25</v>
      </c>
      <c r="L188" s="17"/>
      <c r="M188" s="18"/>
      <c r="N188" s="32"/>
      <c r="O188" s="65" t="s">
        <v>467</v>
      </c>
      <c r="P188" s="34" t="s">
        <v>27</v>
      </c>
      <c r="Q188" s="25" t="s">
        <v>28</v>
      </c>
      <c r="R188" s="74" t="s">
        <v>468</v>
      </c>
    </row>
    <row r="189" spans="1:19">
      <c r="A189" s="17">
        <v>183</v>
      </c>
      <c r="B189" s="17" t="s">
        <v>522</v>
      </c>
      <c r="C189" s="18">
        <v>45617</v>
      </c>
      <c r="D189" s="17" t="s">
        <v>523</v>
      </c>
      <c r="E189" s="17" t="s">
        <v>157</v>
      </c>
      <c r="F189" s="17" t="s">
        <v>524</v>
      </c>
      <c r="G189" s="32">
        <v>92500</v>
      </c>
      <c r="H189" s="32">
        <f t="shared" si="12"/>
        <v>16650</v>
      </c>
      <c r="I189" s="32">
        <f t="shared" si="9"/>
        <v>109150</v>
      </c>
      <c r="J189" s="76" t="s">
        <v>35</v>
      </c>
      <c r="K189" s="19" t="s">
        <v>25</v>
      </c>
      <c r="L189" s="17"/>
      <c r="M189" s="18"/>
      <c r="N189" s="32"/>
      <c r="O189" s="22"/>
      <c r="P189" s="34" t="s">
        <v>36</v>
      </c>
      <c r="Q189" s="25" t="s">
        <v>28</v>
      </c>
      <c r="R189" s="33"/>
      <c r="S189" s="4" t="s">
        <v>525</v>
      </c>
    </row>
    <row r="190" spans="1:19">
      <c r="A190" s="17">
        <v>184</v>
      </c>
      <c r="B190" s="17" t="s">
        <v>526</v>
      </c>
      <c r="C190" s="18">
        <v>45617</v>
      </c>
      <c r="D190" s="17" t="s">
        <v>527</v>
      </c>
      <c r="E190" s="17" t="s">
        <v>311</v>
      </c>
      <c r="F190" s="17" t="s">
        <v>528</v>
      </c>
      <c r="G190" s="32">
        <f>364386+7288</f>
        <v>371674</v>
      </c>
      <c r="H190" s="32">
        <f t="shared" si="12"/>
        <v>66901.319999999992</v>
      </c>
      <c r="I190" s="32">
        <f t="shared" si="9"/>
        <v>438575.32</v>
      </c>
      <c r="J190" s="76" t="s">
        <v>35</v>
      </c>
      <c r="K190" s="19" t="s">
        <v>25</v>
      </c>
      <c r="L190" s="17"/>
      <c r="M190" s="18"/>
      <c r="N190" s="32"/>
      <c r="O190" s="22"/>
      <c r="P190" s="34" t="s">
        <v>36</v>
      </c>
      <c r="Q190" s="24" t="s">
        <v>37</v>
      </c>
      <c r="R190" s="33"/>
      <c r="S190" s="4" t="s">
        <v>525</v>
      </c>
    </row>
    <row r="191" spans="1:19">
      <c r="A191" s="17">
        <v>185</v>
      </c>
      <c r="B191" s="17" t="s">
        <v>529</v>
      </c>
      <c r="C191" s="18">
        <v>45618</v>
      </c>
      <c r="D191" s="17" t="s">
        <v>530</v>
      </c>
      <c r="E191" s="17" t="s">
        <v>22</v>
      </c>
      <c r="F191" s="17" t="s">
        <v>531</v>
      </c>
      <c r="G191" s="32">
        <v>60236.26</v>
      </c>
      <c r="H191" s="32">
        <f t="shared" si="12"/>
        <v>10842.5268</v>
      </c>
      <c r="I191" s="32">
        <f t="shared" si="9"/>
        <v>71078.786800000002</v>
      </c>
      <c r="J191" s="76" t="s">
        <v>24</v>
      </c>
      <c r="K191" s="19" t="s">
        <v>25</v>
      </c>
      <c r="L191" s="17"/>
      <c r="M191" s="18"/>
      <c r="N191" s="32"/>
      <c r="O191" s="22"/>
      <c r="P191" s="34" t="s">
        <v>36</v>
      </c>
      <c r="Q191" s="25" t="s">
        <v>28</v>
      </c>
      <c r="R191" s="33"/>
      <c r="S191" s="4" t="s">
        <v>525</v>
      </c>
    </row>
    <row r="192" spans="1:19">
      <c r="A192" s="17">
        <v>186</v>
      </c>
      <c r="B192" s="17" t="s">
        <v>532</v>
      </c>
      <c r="C192" s="18">
        <v>45621</v>
      </c>
      <c r="D192" s="17" t="s">
        <v>242</v>
      </c>
      <c r="E192" s="17" t="s">
        <v>22</v>
      </c>
      <c r="F192" s="17" t="s">
        <v>243</v>
      </c>
      <c r="G192" s="32">
        <v>268825</v>
      </c>
      <c r="H192" s="32">
        <f t="shared" si="12"/>
        <v>48388.5</v>
      </c>
      <c r="I192" s="32">
        <f t="shared" si="9"/>
        <v>317213.5</v>
      </c>
      <c r="J192" s="76" t="s">
        <v>24</v>
      </c>
      <c r="K192" s="19" t="s">
        <v>25</v>
      </c>
      <c r="L192" s="17"/>
      <c r="M192" s="18"/>
      <c r="N192" s="32"/>
      <c r="O192" s="65"/>
      <c r="P192" s="34" t="s">
        <v>51</v>
      </c>
      <c r="Q192" s="25" t="s">
        <v>28</v>
      </c>
      <c r="R192" s="31"/>
    </row>
    <row r="193" spans="1:19">
      <c r="A193" s="17">
        <v>187</v>
      </c>
      <c r="B193" s="17" t="s">
        <v>533</v>
      </c>
      <c r="C193" s="18">
        <v>45622</v>
      </c>
      <c r="D193" s="17" t="s">
        <v>534</v>
      </c>
      <c r="E193" s="17" t="s">
        <v>535</v>
      </c>
      <c r="F193" s="17" t="s">
        <v>536</v>
      </c>
      <c r="G193" s="32">
        <v>16200</v>
      </c>
      <c r="H193" s="32">
        <v>4086</v>
      </c>
      <c r="I193" s="32">
        <f t="shared" si="9"/>
        <v>20286</v>
      </c>
      <c r="J193" s="76" t="s">
        <v>35</v>
      </c>
      <c r="K193" s="19" t="s">
        <v>25</v>
      </c>
      <c r="L193" s="17"/>
      <c r="M193" s="18"/>
      <c r="N193" s="32"/>
      <c r="O193" s="23"/>
      <c r="P193" s="34" t="s">
        <v>36</v>
      </c>
      <c r="Q193" s="25" t="s">
        <v>28</v>
      </c>
      <c r="R193" s="31"/>
    </row>
    <row r="194" spans="1:19">
      <c r="A194" s="17">
        <v>188</v>
      </c>
      <c r="B194" s="17" t="s">
        <v>537</v>
      </c>
      <c r="C194" s="18">
        <v>45622</v>
      </c>
      <c r="D194" s="17" t="s">
        <v>450</v>
      </c>
      <c r="E194" s="17" t="s">
        <v>157</v>
      </c>
      <c r="F194" s="17" t="s">
        <v>451</v>
      </c>
      <c r="G194" s="32">
        <v>75000</v>
      </c>
      <c r="H194" s="32">
        <f t="shared" si="12"/>
        <v>13500</v>
      </c>
      <c r="I194" s="32">
        <f t="shared" si="9"/>
        <v>88500</v>
      </c>
      <c r="J194" s="76" t="s">
        <v>35</v>
      </c>
      <c r="K194" s="19" t="s">
        <v>25</v>
      </c>
      <c r="L194" s="17"/>
      <c r="M194" s="18"/>
      <c r="N194" s="32"/>
      <c r="O194" s="22"/>
      <c r="P194" s="34" t="s">
        <v>36</v>
      </c>
      <c r="Q194" s="25" t="s">
        <v>28</v>
      </c>
      <c r="R194" s="33"/>
    </row>
    <row r="195" spans="1:19">
      <c r="A195" s="17">
        <v>189</v>
      </c>
      <c r="B195" s="17" t="s">
        <v>538</v>
      </c>
      <c r="C195" s="18">
        <v>45622</v>
      </c>
      <c r="D195" s="17" t="s">
        <v>539</v>
      </c>
      <c r="E195" s="17" t="s">
        <v>22</v>
      </c>
      <c r="F195" s="17" t="s">
        <v>540</v>
      </c>
      <c r="G195" s="32">
        <v>37450</v>
      </c>
      <c r="H195" s="32">
        <f t="shared" si="12"/>
        <v>6741</v>
      </c>
      <c r="I195" s="32">
        <f t="shared" si="9"/>
        <v>44191</v>
      </c>
      <c r="J195" s="76" t="s">
        <v>35</v>
      </c>
      <c r="K195" s="19" t="s">
        <v>25</v>
      </c>
      <c r="L195" s="17"/>
      <c r="M195" s="18"/>
      <c r="N195" s="32"/>
      <c r="O195" s="23"/>
      <c r="P195" s="34" t="s">
        <v>36</v>
      </c>
      <c r="Q195" s="24" t="s">
        <v>37</v>
      </c>
      <c r="R195" s="31"/>
    </row>
    <row r="196" spans="1:19">
      <c r="A196" s="17">
        <v>190</v>
      </c>
      <c r="B196" s="17" t="s">
        <v>541</v>
      </c>
      <c r="C196" s="18">
        <v>45623</v>
      </c>
      <c r="D196" s="17" t="s">
        <v>300</v>
      </c>
      <c r="E196" s="17" t="s">
        <v>301</v>
      </c>
      <c r="F196" s="17" t="s">
        <v>542</v>
      </c>
      <c r="G196" s="32">
        <v>488500</v>
      </c>
      <c r="H196" s="32">
        <f t="shared" si="12"/>
        <v>87930</v>
      </c>
      <c r="I196" s="32">
        <f t="shared" si="9"/>
        <v>576430</v>
      </c>
      <c r="J196" s="76" t="s">
        <v>35</v>
      </c>
      <c r="K196" s="19" t="s">
        <v>25</v>
      </c>
      <c r="L196" s="17"/>
      <c r="M196" s="18"/>
      <c r="N196" s="32"/>
      <c r="O196" s="22"/>
      <c r="P196" s="34" t="s">
        <v>36</v>
      </c>
      <c r="Q196" s="25" t="s">
        <v>28</v>
      </c>
      <c r="R196" s="33"/>
    </row>
    <row r="197" spans="1:19">
      <c r="A197" s="17">
        <v>191</v>
      </c>
      <c r="B197" s="17" t="s">
        <v>543</v>
      </c>
      <c r="C197" s="18">
        <v>45623</v>
      </c>
      <c r="D197" s="17" t="s">
        <v>544</v>
      </c>
      <c r="E197" s="17" t="s">
        <v>22</v>
      </c>
      <c r="F197" s="17" t="s">
        <v>545</v>
      </c>
      <c r="G197" s="32">
        <v>16800</v>
      </c>
      <c r="H197" s="32">
        <f t="shared" si="12"/>
        <v>3024</v>
      </c>
      <c r="I197" s="32">
        <f t="shared" si="9"/>
        <v>19824</v>
      </c>
      <c r="J197" s="76" t="s">
        <v>35</v>
      </c>
      <c r="K197" s="19" t="s">
        <v>25</v>
      </c>
      <c r="L197" s="17"/>
      <c r="M197" s="18"/>
      <c r="N197" s="32"/>
      <c r="O197" s="22"/>
      <c r="P197" s="34" t="s">
        <v>51</v>
      </c>
      <c r="Q197" s="24" t="s">
        <v>37</v>
      </c>
      <c r="R197" s="33"/>
    </row>
    <row r="198" spans="1:19">
      <c r="A198" s="17">
        <v>192</v>
      </c>
      <c r="B198" s="17" t="s">
        <v>546</v>
      </c>
      <c r="C198" s="18">
        <v>45624</v>
      </c>
      <c r="D198" s="17" t="s">
        <v>126</v>
      </c>
      <c r="E198" s="17" t="s">
        <v>22</v>
      </c>
      <c r="F198" s="17" t="s">
        <v>547</v>
      </c>
      <c r="G198" s="32">
        <v>2200</v>
      </c>
      <c r="H198" s="32">
        <f t="shared" si="12"/>
        <v>396</v>
      </c>
      <c r="I198" s="32">
        <f t="shared" si="9"/>
        <v>2596</v>
      </c>
      <c r="J198" s="76" t="s">
        <v>35</v>
      </c>
      <c r="K198" s="19" t="s">
        <v>25</v>
      </c>
      <c r="L198" s="17"/>
      <c r="M198" s="18"/>
      <c r="N198" s="32"/>
      <c r="O198" s="23"/>
      <c r="P198" s="34" t="s">
        <v>36</v>
      </c>
      <c r="Q198" s="25" t="s">
        <v>28</v>
      </c>
      <c r="R198" s="31"/>
    </row>
    <row r="199" spans="1:19">
      <c r="A199" s="17">
        <v>193</v>
      </c>
      <c r="B199" s="17" t="s">
        <v>548</v>
      </c>
      <c r="C199" s="18">
        <v>45625</v>
      </c>
      <c r="D199" s="17" t="s">
        <v>70</v>
      </c>
      <c r="E199" s="17" t="s">
        <v>22</v>
      </c>
      <c r="F199" s="17" t="s">
        <v>549</v>
      </c>
      <c r="G199" s="32">
        <v>71600</v>
      </c>
      <c r="H199" s="32">
        <f t="shared" si="12"/>
        <v>12888</v>
      </c>
      <c r="I199" s="32">
        <f t="shared" si="9"/>
        <v>84488</v>
      </c>
      <c r="J199" s="76" t="s">
        <v>35</v>
      </c>
      <c r="K199" s="19" t="s">
        <v>25</v>
      </c>
      <c r="L199" s="17"/>
      <c r="M199" s="18"/>
      <c r="N199" s="32"/>
      <c r="O199" s="22"/>
      <c r="P199" s="34" t="s">
        <v>36</v>
      </c>
      <c r="Q199" s="24" t="s">
        <v>37</v>
      </c>
      <c r="R199" s="33"/>
      <c r="S199" s="4" t="s">
        <v>525</v>
      </c>
    </row>
    <row r="200" spans="1:19">
      <c r="A200" s="17">
        <v>194</v>
      </c>
      <c r="B200" s="17" t="s">
        <v>550</v>
      </c>
      <c r="C200" s="18">
        <v>45625</v>
      </c>
      <c r="D200" s="17" t="s">
        <v>112</v>
      </c>
      <c r="E200" s="17" t="s">
        <v>22</v>
      </c>
      <c r="F200" s="17" t="s">
        <v>191</v>
      </c>
      <c r="G200" s="32">
        <v>76671</v>
      </c>
      <c r="H200" s="32">
        <f t="shared" si="12"/>
        <v>13800.779999999999</v>
      </c>
      <c r="I200" s="32">
        <f t="shared" si="9"/>
        <v>90471.78</v>
      </c>
      <c r="J200" s="76" t="s">
        <v>35</v>
      </c>
      <c r="K200" s="19" t="s">
        <v>25</v>
      </c>
      <c r="L200" s="17"/>
      <c r="M200" s="18"/>
      <c r="N200" s="32"/>
      <c r="O200" s="65"/>
      <c r="P200" s="34" t="s">
        <v>114</v>
      </c>
      <c r="Q200" s="24" t="s">
        <v>37</v>
      </c>
      <c r="R200" s="31"/>
      <c r="S200" s="4" t="s">
        <v>525</v>
      </c>
    </row>
    <row r="201" spans="1:19">
      <c r="A201" s="17">
        <v>195</v>
      </c>
      <c r="B201" s="17" t="s">
        <v>551</v>
      </c>
      <c r="C201" s="18">
        <v>45626</v>
      </c>
      <c r="D201" s="17" t="s">
        <v>242</v>
      </c>
      <c r="E201" s="17" t="s">
        <v>22</v>
      </c>
      <c r="F201" s="17" t="s">
        <v>243</v>
      </c>
      <c r="G201" s="32">
        <v>1243450</v>
      </c>
      <c r="H201" s="32">
        <f t="shared" si="12"/>
        <v>223821</v>
      </c>
      <c r="I201" s="32">
        <f t="shared" si="9"/>
        <v>1467271</v>
      </c>
      <c r="J201" s="76" t="s">
        <v>24</v>
      </c>
      <c r="K201" s="19" t="s">
        <v>25</v>
      </c>
      <c r="L201" s="17"/>
      <c r="M201" s="18"/>
      <c r="N201" s="32"/>
      <c r="O201" s="23"/>
      <c r="P201" s="34" t="s">
        <v>51</v>
      </c>
      <c r="Q201" s="25" t="s">
        <v>28</v>
      </c>
      <c r="R201" s="31"/>
    </row>
    <row r="202" spans="1:19">
      <c r="A202" s="17">
        <v>196</v>
      </c>
      <c r="B202" s="17" t="s">
        <v>552</v>
      </c>
      <c r="C202" s="18">
        <v>45628</v>
      </c>
      <c r="D202" s="17" t="s">
        <v>134</v>
      </c>
      <c r="E202" s="17" t="s">
        <v>22</v>
      </c>
      <c r="F202" s="17" t="s">
        <v>234</v>
      </c>
      <c r="G202" s="32">
        <v>98400</v>
      </c>
      <c r="H202" s="32">
        <f t="shared" si="12"/>
        <v>17712</v>
      </c>
      <c r="I202" s="32">
        <f t="shared" si="9"/>
        <v>116112</v>
      </c>
      <c r="J202" s="76" t="s">
        <v>35</v>
      </c>
      <c r="K202" s="19" t="s">
        <v>25</v>
      </c>
      <c r="L202" s="17" t="s">
        <v>553</v>
      </c>
      <c r="M202" s="18">
        <v>45665</v>
      </c>
      <c r="N202" s="32">
        <v>124143</v>
      </c>
      <c r="O202" s="23"/>
      <c r="P202" s="34" t="s">
        <v>137</v>
      </c>
      <c r="Q202" s="24" t="s">
        <v>37</v>
      </c>
      <c r="R202" s="31"/>
      <c r="S202" s="4" t="s">
        <v>525</v>
      </c>
    </row>
    <row r="203" spans="1:19">
      <c r="A203" s="17">
        <v>197</v>
      </c>
      <c r="B203" s="17" t="s">
        <v>554</v>
      </c>
      <c r="C203" s="18">
        <v>45630</v>
      </c>
      <c r="D203" s="17" t="s">
        <v>555</v>
      </c>
      <c r="E203" s="17" t="s">
        <v>157</v>
      </c>
      <c r="F203" s="17" t="s">
        <v>556</v>
      </c>
      <c r="G203" s="32">
        <v>18200</v>
      </c>
      <c r="H203" s="32">
        <f t="shared" si="12"/>
        <v>3276</v>
      </c>
      <c r="I203" s="32">
        <f t="shared" si="9"/>
        <v>21476</v>
      </c>
      <c r="J203" s="76" t="s">
        <v>35</v>
      </c>
      <c r="K203" s="19" t="s">
        <v>25</v>
      </c>
      <c r="L203" s="17"/>
      <c r="M203" s="18"/>
      <c r="N203" s="32"/>
      <c r="O203" s="23"/>
      <c r="P203" s="34" t="s">
        <v>36</v>
      </c>
      <c r="Q203" s="24" t="s">
        <v>37</v>
      </c>
      <c r="R203" s="31"/>
    </row>
    <row r="204" spans="1:19" s="77" customFormat="1">
      <c r="A204" s="17">
        <v>198</v>
      </c>
      <c r="B204" s="17" t="s">
        <v>557</v>
      </c>
      <c r="C204" s="18">
        <v>45631</v>
      </c>
      <c r="D204" s="17" t="s">
        <v>558</v>
      </c>
      <c r="E204" s="17" t="s">
        <v>22</v>
      </c>
      <c r="F204" s="17" t="s">
        <v>559</v>
      </c>
      <c r="G204" s="32">
        <v>36193.03</v>
      </c>
      <c r="H204" s="32">
        <f t="shared" si="12"/>
        <v>6514.7453999999998</v>
      </c>
      <c r="I204" s="32">
        <f t="shared" si="9"/>
        <v>42707.775399999999</v>
      </c>
      <c r="J204" s="76" t="s">
        <v>35</v>
      </c>
      <c r="K204" s="19" t="s">
        <v>25</v>
      </c>
      <c r="L204" s="17"/>
      <c r="M204" s="18"/>
      <c r="N204" s="32"/>
      <c r="O204" s="22"/>
      <c r="P204" s="34" t="s">
        <v>36</v>
      </c>
      <c r="Q204" s="24" t="s">
        <v>37</v>
      </c>
      <c r="R204" s="33"/>
      <c r="S204" s="30"/>
    </row>
    <row r="205" spans="1:19" s="61" customFormat="1">
      <c r="A205" s="17">
        <v>199</v>
      </c>
      <c r="B205" s="17" t="s">
        <v>560</v>
      </c>
      <c r="C205" s="18">
        <v>45631</v>
      </c>
      <c r="D205" s="17" t="s">
        <v>255</v>
      </c>
      <c r="E205" s="17" t="s">
        <v>22</v>
      </c>
      <c r="F205" s="53" t="s">
        <v>256</v>
      </c>
      <c r="G205" s="64">
        <v>134966.99</v>
      </c>
      <c r="H205" s="64">
        <f t="shared" si="12"/>
        <v>24294.058199999996</v>
      </c>
      <c r="I205" s="64">
        <f t="shared" si="9"/>
        <v>159261.04819999999</v>
      </c>
      <c r="J205" s="76" t="s">
        <v>35</v>
      </c>
      <c r="K205" s="19" t="s">
        <v>25</v>
      </c>
      <c r="L205" s="53"/>
      <c r="M205" s="54"/>
      <c r="N205" s="64"/>
      <c r="O205" s="58"/>
      <c r="P205" s="34" t="s">
        <v>36</v>
      </c>
      <c r="Q205" s="24" t="s">
        <v>37</v>
      </c>
      <c r="R205" s="31"/>
      <c r="S205" s="60"/>
    </row>
    <row r="206" spans="1:19" ht="14.25">
      <c r="A206" s="17">
        <v>200</v>
      </c>
      <c r="B206" s="17" t="s">
        <v>561</v>
      </c>
      <c r="C206" s="54">
        <v>45632</v>
      </c>
      <c r="D206" s="17" t="s">
        <v>427</v>
      </c>
      <c r="E206" s="17" t="s">
        <v>22</v>
      </c>
      <c r="F206" s="17" t="s">
        <v>562</v>
      </c>
      <c r="G206" s="32">
        <v>12881.35</v>
      </c>
      <c r="H206" s="32">
        <f t="shared" si="12"/>
        <v>2318.643</v>
      </c>
      <c r="I206" s="32">
        <f t="shared" si="9"/>
        <v>15199.993</v>
      </c>
      <c r="J206" s="76" t="s">
        <v>35</v>
      </c>
      <c r="K206" s="19" t="s">
        <v>25</v>
      </c>
      <c r="L206" s="17"/>
      <c r="M206" s="18"/>
      <c r="N206" s="32"/>
      <c r="O206" s="65" t="s">
        <v>474</v>
      </c>
      <c r="P206" s="34" t="s">
        <v>27</v>
      </c>
      <c r="Q206" s="25" t="s">
        <v>28</v>
      </c>
      <c r="R206" s="74" t="s">
        <v>475</v>
      </c>
    </row>
    <row r="207" spans="1:19">
      <c r="A207" s="17">
        <v>201</v>
      </c>
      <c r="B207" s="17" t="s">
        <v>563</v>
      </c>
      <c r="C207" s="54">
        <v>45633</v>
      </c>
      <c r="D207" s="17" t="s">
        <v>418</v>
      </c>
      <c r="E207" s="17" t="s">
        <v>224</v>
      </c>
      <c r="F207" s="17" t="s">
        <v>564</v>
      </c>
      <c r="G207" s="32">
        <v>53964</v>
      </c>
      <c r="H207" s="32">
        <f t="shared" si="12"/>
        <v>9713.52</v>
      </c>
      <c r="I207" s="32">
        <f t="shared" si="9"/>
        <v>63677.520000000004</v>
      </c>
      <c r="J207" s="76" t="s">
        <v>35</v>
      </c>
      <c r="K207" s="19" t="s">
        <v>25</v>
      </c>
      <c r="L207" s="17"/>
      <c r="M207" s="18"/>
      <c r="N207" s="32"/>
      <c r="O207" s="22"/>
      <c r="P207" s="34" t="s">
        <v>36</v>
      </c>
      <c r="Q207" s="24" t="s">
        <v>37</v>
      </c>
      <c r="R207" s="33"/>
    </row>
    <row r="208" spans="1:19">
      <c r="A208" s="17">
        <v>202</v>
      </c>
      <c r="B208" s="17" t="s">
        <v>565</v>
      </c>
      <c r="C208" s="54">
        <v>45636</v>
      </c>
      <c r="D208" s="17" t="s">
        <v>242</v>
      </c>
      <c r="E208" s="17" t="s">
        <v>22</v>
      </c>
      <c r="F208" s="17" t="s">
        <v>243</v>
      </c>
      <c r="G208" s="32">
        <v>307785.2</v>
      </c>
      <c r="H208" s="32">
        <f t="shared" si="12"/>
        <v>55401.336000000003</v>
      </c>
      <c r="I208" s="32">
        <f t="shared" si="9"/>
        <v>363186.53600000002</v>
      </c>
      <c r="J208" s="76" t="s">
        <v>24</v>
      </c>
      <c r="K208" s="19" t="s">
        <v>25</v>
      </c>
      <c r="L208" s="17"/>
      <c r="M208" s="18"/>
      <c r="N208" s="32"/>
      <c r="O208" s="22"/>
      <c r="P208" s="34" t="s">
        <v>51</v>
      </c>
      <c r="Q208" s="25" t="s">
        <v>28</v>
      </c>
      <c r="R208" s="33"/>
    </row>
    <row r="209" spans="1:19">
      <c r="A209" s="17">
        <v>203</v>
      </c>
      <c r="B209" s="17" t="s">
        <v>566</v>
      </c>
      <c r="C209" s="54">
        <v>45639</v>
      </c>
      <c r="D209" s="17" t="s">
        <v>324</v>
      </c>
      <c r="E209" s="17" t="s">
        <v>22</v>
      </c>
      <c r="F209" s="17" t="s">
        <v>325</v>
      </c>
      <c r="G209" s="32">
        <f>30670+613.4</f>
        <v>31283.4</v>
      </c>
      <c r="H209" s="32">
        <f t="shared" si="12"/>
        <v>5631.0119999999997</v>
      </c>
      <c r="I209" s="32">
        <f t="shared" si="9"/>
        <v>36914.412000000004</v>
      </c>
      <c r="J209" s="76" t="s">
        <v>35</v>
      </c>
      <c r="K209" s="19" t="s">
        <v>25</v>
      </c>
      <c r="L209" s="17"/>
      <c r="M209" s="18"/>
      <c r="N209" s="32"/>
      <c r="O209" s="22"/>
      <c r="P209" s="34" t="s">
        <v>36</v>
      </c>
      <c r="Q209" s="24" t="s">
        <v>37</v>
      </c>
      <c r="R209" s="33"/>
    </row>
    <row r="210" spans="1:19">
      <c r="A210" s="17">
        <v>204</v>
      </c>
      <c r="B210" s="17" t="s">
        <v>567</v>
      </c>
      <c r="C210" s="54">
        <v>45639</v>
      </c>
      <c r="D210" s="17" t="s">
        <v>62</v>
      </c>
      <c r="E210" s="17" t="s">
        <v>22</v>
      </c>
      <c r="F210" s="17" t="s">
        <v>568</v>
      </c>
      <c r="G210" s="32">
        <v>2954</v>
      </c>
      <c r="H210" s="32">
        <v>191.52</v>
      </c>
      <c r="I210" s="32">
        <f t="shared" si="9"/>
        <v>3145.52</v>
      </c>
      <c r="J210" s="76" t="s">
        <v>35</v>
      </c>
      <c r="K210" s="19" t="s">
        <v>25</v>
      </c>
      <c r="L210" s="22"/>
      <c r="M210" s="22"/>
      <c r="N210" s="22"/>
      <c r="O210" s="33"/>
      <c r="P210" s="34" t="s">
        <v>51</v>
      </c>
      <c r="Q210" s="25" t="s">
        <v>28</v>
      </c>
      <c r="R210" s="17"/>
    </row>
    <row r="211" spans="1:19">
      <c r="A211" s="17">
        <v>205</v>
      </c>
      <c r="B211" s="17" t="s">
        <v>569</v>
      </c>
      <c r="C211" s="54">
        <v>45639</v>
      </c>
      <c r="D211" s="17" t="s">
        <v>249</v>
      </c>
      <c r="E211" s="17" t="s">
        <v>22</v>
      </c>
      <c r="F211" s="17" t="s">
        <v>568</v>
      </c>
      <c r="G211" s="32">
        <v>2275</v>
      </c>
      <c r="H211" s="32">
        <f t="shared" si="12"/>
        <v>409.5</v>
      </c>
      <c r="I211" s="32">
        <f t="shared" si="9"/>
        <v>2684.5</v>
      </c>
      <c r="J211" s="76" t="s">
        <v>35</v>
      </c>
      <c r="K211" s="19" t="s">
        <v>25</v>
      </c>
      <c r="L211" s="17"/>
      <c r="M211" s="18"/>
      <c r="N211" s="32"/>
      <c r="O211" s="22"/>
      <c r="P211" s="34" t="s">
        <v>51</v>
      </c>
      <c r="Q211" s="24" t="s">
        <v>37</v>
      </c>
      <c r="R211" s="33"/>
    </row>
    <row r="212" spans="1:19">
      <c r="A212" s="17">
        <v>206</v>
      </c>
      <c r="B212" s="17" t="s">
        <v>570</v>
      </c>
      <c r="C212" s="54">
        <v>45644</v>
      </c>
      <c r="D212" s="17" t="s">
        <v>290</v>
      </c>
      <c r="E212" s="17" t="s">
        <v>22</v>
      </c>
      <c r="F212" s="17" t="s">
        <v>571</v>
      </c>
      <c r="G212" s="32">
        <v>81098</v>
      </c>
      <c r="H212" s="32">
        <f t="shared" si="12"/>
        <v>14597.64</v>
      </c>
      <c r="I212" s="32">
        <f t="shared" si="9"/>
        <v>95695.64</v>
      </c>
      <c r="J212" s="76" t="s">
        <v>35</v>
      </c>
      <c r="K212" s="19" t="s">
        <v>25</v>
      </c>
      <c r="L212" s="17"/>
      <c r="M212" s="18"/>
      <c r="N212" s="32"/>
      <c r="O212" s="22"/>
      <c r="P212" s="34" t="s">
        <v>51</v>
      </c>
      <c r="Q212" s="24" t="s">
        <v>37</v>
      </c>
      <c r="R212" s="33"/>
    </row>
    <row r="213" spans="1:19">
      <c r="A213" s="17">
        <v>207</v>
      </c>
      <c r="B213" s="17" t="s">
        <v>572</v>
      </c>
      <c r="C213" s="54">
        <v>45644</v>
      </c>
      <c r="D213" s="17" t="s">
        <v>573</v>
      </c>
      <c r="E213" s="17" t="s">
        <v>46</v>
      </c>
      <c r="F213" s="17" t="s">
        <v>574</v>
      </c>
      <c r="G213" s="32">
        <v>267800</v>
      </c>
      <c r="H213" s="32">
        <f t="shared" si="12"/>
        <v>48204</v>
      </c>
      <c r="I213" s="32">
        <f t="shared" si="9"/>
        <v>316004</v>
      </c>
      <c r="J213" s="76" t="s">
        <v>35</v>
      </c>
      <c r="K213" s="19" t="s">
        <v>25</v>
      </c>
      <c r="L213" s="17"/>
      <c r="M213" s="18"/>
      <c r="N213" s="32"/>
      <c r="O213" s="65" t="s">
        <v>447</v>
      </c>
      <c r="P213" s="34" t="s">
        <v>27</v>
      </c>
      <c r="Q213" s="24" t="s">
        <v>37</v>
      </c>
      <c r="R213" s="33"/>
    </row>
    <row r="214" spans="1:19">
      <c r="A214" s="17">
        <v>208</v>
      </c>
      <c r="B214" s="17" t="s">
        <v>575</v>
      </c>
      <c r="C214" s="54">
        <v>45645</v>
      </c>
      <c r="D214" s="17" t="s">
        <v>166</v>
      </c>
      <c r="E214" s="17" t="s">
        <v>22</v>
      </c>
      <c r="F214" s="17" t="s">
        <v>576</v>
      </c>
      <c r="G214" s="32">
        <v>71450</v>
      </c>
      <c r="H214" s="32">
        <f t="shared" si="12"/>
        <v>12861</v>
      </c>
      <c r="I214" s="32">
        <f t="shared" si="9"/>
        <v>84311</v>
      </c>
      <c r="J214" s="76" t="s">
        <v>35</v>
      </c>
      <c r="K214" s="19" t="s">
        <v>25</v>
      </c>
      <c r="L214" s="17"/>
      <c r="M214" s="18"/>
      <c r="N214" s="32"/>
      <c r="O214" s="22"/>
      <c r="P214" s="34" t="s">
        <v>51</v>
      </c>
      <c r="Q214" s="24" t="s">
        <v>37</v>
      </c>
      <c r="R214" s="33"/>
    </row>
    <row r="215" spans="1:19">
      <c r="A215" s="17">
        <v>209</v>
      </c>
      <c r="B215" s="17" t="s">
        <v>577</v>
      </c>
      <c r="C215" s="54">
        <v>45649</v>
      </c>
      <c r="D215" s="17" t="s">
        <v>249</v>
      </c>
      <c r="E215" s="17" t="s">
        <v>22</v>
      </c>
      <c r="F215" s="17" t="s">
        <v>578</v>
      </c>
      <c r="G215" s="32">
        <v>5370</v>
      </c>
      <c r="H215" s="32">
        <f t="shared" si="12"/>
        <v>966.59999999999991</v>
      </c>
      <c r="I215" s="32">
        <f t="shared" si="9"/>
        <v>6336.6</v>
      </c>
      <c r="J215" s="76" t="s">
        <v>35</v>
      </c>
      <c r="K215" s="19" t="s">
        <v>25</v>
      </c>
      <c r="L215" s="17"/>
      <c r="M215" s="18"/>
      <c r="N215" s="32"/>
      <c r="O215" s="65"/>
      <c r="P215" s="34" t="s">
        <v>51</v>
      </c>
      <c r="Q215" s="24" t="s">
        <v>37</v>
      </c>
      <c r="R215" s="31"/>
    </row>
    <row r="216" spans="1:19">
      <c r="A216" s="17">
        <v>210</v>
      </c>
      <c r="B216" s="17" t="s">
        <v>579</v>
      </c>
      <c r="C216" s="54">
        <v>45650</v>
      </c>
      <c r="D216" s="17" t="s">
        <v>580</v>
      </c>
      <c r="E216" s="17" t="s">
        <v>157</v>
      </c>
      <c r="F216" s="17" t="s">
        <v>581</v>
      </c>
      <c r="G216" s="32">
        <v>316000</v>
      </c>
      <c r="H216" s="32">
        <f t="shared" si="12"/>
        <v>56880</v>
      </c>
      <c r="I216" s="32">
        <f t="shared" si="9"/>
        <v>372880</v>
      </c>
      <c r="J216" s="76" t="s">
        <v>35</v>
      </c>
      <c r="K216" s="19" t="s">
        <v>25</v>
      </c>
      <c r="L216" s="17"/>
      <c r="M216" s="18"/>
      <c r="N216" s="32"/>
      <c r="O216" s="22"/>
      <c r="P216" s="34" t="s">
        <v>51</v>
      </c>
      <c r="Q216" s="25" t="s">
        <v>28</v>
      </c>
      <c r="R216" s="33"/>
    </row>
    <row r="217" spans="1:19">
      <c r="A217" s="17">
        <v>211</v>
      </c>
      <c r="B217" s="17" t="s">
        <v>582</v>
      </c>
      <c r="C217" s="18">
        <v>45656</v>
      </c>
      <c r="D217" s="17" t="s">
        <v>583</v>
      </c>
      <c r="E217" s="17" t="s">
        <v>22</v>
      </c>
      <c r="F217" s="17" t="s">
        <v>584</v>
      </c>
      <c r="G217" s="32">
        <v>8135.6</v>
      </c>
      <c r="H217" s="32">
        <f t="shared" si="12"/>
        <v>1464.4079999999999</v>
      </c>
      <c r="I217" s="32">
        <f t="shared" si="9"/>
        <v>9600.0079999999998</v>
      </c>
      <c r="J217" s="76" t="s">
        <v>35</v>
      </c>
      <c r="K217" s="19" t="s">
        <v>25</v>
      </c>
      <c r="L217" s="17"/>
      <c r="M217" s="18"/>
      <c r="N217" s="32"/>
      <c r="O217" s="23"/>
      <c r="P217" s="34" t="s">
        <v>137</v>
      </c>
      <c r="Q217" s="24" t="s">
        <v>37</v>
      </c>
      <c r="R217" s="31"/>
    </row>
    <row r="218" spans="1:19" ht="14.25">
      <c r="A218" s="17">
        <v>212</v>
      </c>
      <c r="B218" s="17" t="s">
        <v>585</v>
      </c>
      <c r="C218" s="18">
        <v>45657</v>
      </c>
      <c r="D218" s="17" t="s">
        <v>586</v>
      </c>
      <c r="E218" s="17" t="s">
        <v>587</v>
      </c>
      <c r="F218" s="17" t="s">
        <v>588</v>
      </c>
      <c r="G218" s="32">
        <v>2442611.5</v>
      </c>
      <c r="H218" s="32">
        <f t="shared" si="12"/>
        <v>439670.07</v>
      </c>
      <c r="I218" s="32">
        <f t="shared" si="9"/>
        <v>2882281.57</v>
      </c>
      <c r="J218" s="76" t="s">
        <v>35</v>
      </c>
      <c r="K218" s="19" t="s">
        <v>25</v>
      </c>
      <c r="L218" s="17"/>
      <c r="M218" s="18"/>
      <c r="N218" s="32"/>
      <c r="O218" s="22"/>
      <c r="P218" s="34" t="s">
        <v>264</v>
      </c>
      <c r="Q218" s="24" t="s">
        <v>37</v>
      </c>
      <c r="R218" s="26" t="s">
        <v>448</v>
      </c>
      <c r="S218" s="37">
        <v>2709928</v>
      </c>
    </row>
    <row r="219" spans="1:19">
      <c r="A219" s="17">
        <v>213</v>
      </c>
      <c r="B219" s="78" t="s">
        <v>589</v>
      </c>
      <c r="C219" s="18">
        <v>45659</v>
      </c>
      <c r="D219" s="17" t="s">
        <v>590</v>
      </c>
      <c r="E219" s="17" t="s">
        <v>22</v>
      </c>
      <c r="F219" s="17" t="s">
        <v>591</v>
      </c>
      <c r="G219" s="32">
        <v>56750</v>
      </c>
      <c r="H219" s="32">
        <f t="shared" si="12"/>
        <v>10215</v>
      </c>
      <c r="I219" s="32">
        <f t="shared" si="9"/>
        <v>66965</v>
      </c>
      <c r="J219" s="76" t="s">
        <v>35</v>
      </c>
      <c r="K219" s="19" t="s">
        <v>25</v>
      </c>
      <c r="L219" s="17"/>
      <c r="M219" s="18"/>
      <c r="N219" s="32"/>
      <c r="O219" s="22"/>
      <c r="P219" s="34" t="s">
        <v>36</v>
      </c>
      <c r="Q219" s="24" t="s">
        <v>37</v>
      </c>
      <c r="R219" s="33"/>
    </row>
    <row r="220" spans="1:19">
      <c r="A220" s="17">
        <v>214</v>
      </c>
      <c r="B220" s="78" t="s">
        <v>592</v>
      </c>
      <c r="C220" s="18">
        <v>45663</v>
      </c>
      <c r="D220" s="17" t="s">
        <v>332</v>
      </c>
      <c r="E220" s="17" t="s">
        <v>22</v>
      </c>
      <c r="F220" s="17" t="s">
        <v>593</v>
      </c>
      <c r="G220" s="32">
        <v>3652</v>
      </c>
      <c r="H220" s="32">
        <f t="shared" si="12"/>
        <v>657.36</v>
      </c>
      <c r="I220" s="32">
        <f t="shared" si="9"/>
        <v>4309.3599999999997</v>
      </c>
      <c r="J220" s="76" t="s">
        <v>131</v>
      </c>
      <c r="K220" s="19" t="s">
        <v>25</v>
      </c>
      <c r="L220" s="17"/>
      <c r="M220" s="18"/>
      <c r="N220" s="32"/>
      <c r="O220" s="22"/>
      <c r="P220" s="34" t="s">
        <v>51</v>
      </c>
      <c r="Q220" s="25" t="s">
        <v>28</v>
      </c>
      <c r="R220" s="33"/>
    </row>
    <row r="221" spans="1:19">
      <c r="A221" s="17">
        <v>215</v>
      </c>
      <c r="B221" s="78" t="s">
        <v>594</v>
      </c>
      <c r="C221" s="18">
        <v>45664</v>
      </c>
      <c r="D221" s="17" t="s">
        <v>166</v>
      </c>
      <c r="E221" s="17" t="s">
        <v>22</v>
      </c>
      <c r="F221" s="17" t="s">
        <v>167</v>
      </c>
      <c r="G221" s="32">
        <v>24800</v>
      </c>
      <c r="H221" s="32">
        <v>4243</v>
      </c>
      <c r="I221" s="32">
        <f t="shared" si="9"/>
        <v>29043</v>
      </c>
      <c r="J221" s="76" t="s">
        <v>131</v>
      </c>
      <c r="K221" s="19" t="s">
        <v>25</v>
      </c>
      <c r="L221" s="17"/>
      <c r="M221" s="18"/>
      <c r="N221" s="32"/>
      <c r="O221" s="22"/>
      <c r="P221" s="34" t="s">
        <v>51</v>
      </c>
      <c r="Q221" s="24" t="s">
        <v>37</v>
      </c>
      <c r="R221" s="33"/>
    </row>
    <row r="222" spans="1:19">
      <c r="A222" s="17">
        <v>216</v>
      </c>
      <c r="B222" s="78" t="s">
        <v>595</v>
      </c>
      <c r="C222" s="18">
        <v>45672</v>
      </c>
      <c r="D222" s="17" t="s">
        <v>242</v>
      </c>
      <c r="E222" s="17" t="s">
        <v>22</v>
      </c>
      <c r="F222" s="17" t="s">
        <v>243</v>
      </c>
      <c r="G222" s="32">
        <v>209854.6</v>
      </c>
      <c r="H222" s="32">
        <f t="shared" si="12"/>
        <v>37773.828000000001</v>
      </c>
      <c r="I222" s="32">
        <f t="shared" si="9"/>
        <v>247628.42800000001</v>
      </c>
      <c r="J222" s="76" t="s">
        <v>24</v>
      </c>
      <c r="K222" s="19" t="s">
        <v>25</v>
      </c>
      <c r="L222" s="17"/>
      <c r="M222" s="18"/>
      <c r="N222" s="32"/>
      <c r="O222" s="22"/>
      <c r="P222" s="34" t="s">
        <v>51</v>
      </c>
      <c r="Q222" s="25" t="s">
        <v>28</v>
      </c>
      <c r="R222" s="33"/>
    </row>
    <row r="223" spans="1:19">
      <c r="A223" s="17">
        <v>217</v>
      </c>
      <c r="B223" s="78" t="s">
        <v>596</v>
      </c>
      <c r="C223" s="18">
        <v>45679</v>
      </c>
      <c r="D223" s="17" t="s">
        <v>321</v>
      </c>
      <c r="E223" s="17" t="s">
        <v>22</v>
      </c>
      <c r="F223" s="17" t="s">
        <v>597</v>
      </c>
      <c r="G223" s="32">
        <f>211552.6+2115.53</f>
        <v>213668.13</v>
      </c>
      <c r="H223" s="32">
        <f t="shared" si="12"/>
        <v>38460.263399999996</v>
      </c>
      <c r="I223" s="32">
        <f t="shared" si="9"/>
        <v>252128.3934</v>
      </c>
      <c r="J223" s="76" t="s">
        <v>35</v>
      </c>
      <c r="K223" s="19" t="s">
        <v>25</v>
      </c>
      <c r="L223" s="17"/>
      <c r="M223" s="18"/>
      <c r="N223" s="32"/>
      <c r="O223" s="22"/>
      <c r="P223" s="34" t="s">
        <v>36</v>
      </c>
      <c r="Q223" s="25" t="s">
        <v>28</v>
      </c>
      <c r="R223" s="33"/>
    </row>
    <row r="224" spans="1:19">
      <c r="A224" s="17">
        <v>218</v>
      </c>
      <c r="B224" s="78" t="s">
        <v>598</v>
      </c>
      <c r="C224" s="18">
        <v>45679</v>
      </c>
      <c r="D224" s="17" t="s">
        <v>599</v>
      </c>
      <c r="E224" s="17" t="s">
        <v>176</v>
      </c>
      <c r="F224" s="17" t="s">
        <v>600</v>
      </c>
      <c r="G224" s="32">
        <v>498983.75</v>
      </c>
      <c r="H224" s="32">
        <f t="shared" si="12"/>
        <v>89817.074999999997</v>
      </c>
      <c r="I224" s="32">
        <f t="shared" si="9"/>
        <v>588800.82499999995</v>
      </c>
      <c r="J224" s="76" t="s">
        <v>35</v>
      </c>
      <c r="K224" s="19" t="s">
        <v>25</v>
      </c>
      <c r="L224" s="17"/>
      <c r="M224" s="18"/>
      <c r="N224" s="32"/>
      <c r="O224" s="22"/>
      <c r="P224" s="34" t="s">
        <v>36</v>
      </c>
      <c r="Q224" s="24" t="s">
        <v>37</v>
      </c>
      <c r="R224" s="33"/>
    </row>
    <row r="225" spans="1:19">
      <c r="A225" s="17">
        <v>219</v>
      </c>
      <c r="B225" s="78" t="s">
        <v>601</v>
      </c>
      <c r="C225" s="18">
        <v>45681</v>
      </c>
      <c r="D225" s="17" t="s">
        <v>112</v>
      </c>
      <c r="E225" s="17" t="s">
        <v>22</v>
      </c>
      <c r="F225" s="17" t="s">
        <v>288</v>
      </c>
      <c r="G225" s="32">
        <v>18370</v>
      </c>
      <c r="H225" s="32"/>
      <c r="I225" s="32">
        <f t="shared" si="9"/>
        <v>18370</v>
      </c>
      <c r="J225" s="76" t="s">
        <v>35</v>
      </c>
      <c r="K225" s="19" t="s">
        <v>25</v>
      </c>
      <c r="L225" s="17"/>
      <c r="M225" s="18"/>
      <c r="N225" s="32"/>
      <c r="O225" s="65"/>
      <c r="P225" s="34" t="s">
        <v>51</v>
      </c>
      <c r="Q225" s="24" t="s">
        <v>37</v>
      </c>
      <c r="R225" s="31"/>
      <c r="S225" s="63"/>
    </row>
    <row r="226" spans="1:19" ht="14.25">
      <c r="A226" s="17">
        <v>220</v>
      </c>
      <c r="B226" s="78" t="s">
        <v>602</v>
      </c>
      <c r="C226" s="18">
        <v>45681</v>
      </c>
      <c r="D226" s="17" t="s">
        <v>318</v>
      </c>
      <c r="E226" s="17" t="s">
        <v>22</v>
      </c>
      <c r="F226" s="17" t="s">
        <v>319</v>
      </c>
      <c r="G226" s="32">
        <v>71582.880000000005</v>
      </c>
      <c r="H226" s="32">
        <f t="shared" si="12"/>
        <v>12884.9184</v>
      </c>
      <c r="I226" s="32">
        <f t="shared" si="9"/>
        <v>84467.7984</v>
      </c>
      <c r="J226" s="76" t="s">
        <v>131</v>
      </c>
      <c r="K226" s="19" t="s">
        <v>25</v>
      </c>
      <c r="L226" s="17"/>
      <c r="M226" s="18"/>
      <c r="N226" s="32"/>
      <c r="O226" s="65" t="s">
        <v>467</v>
      </c>
      <c r="P226" s="34" t="s">
        <v>27</v>
      </c>
      <c r="Q226" s="24" t="s">
        <v>37</v>
      </c>
      <c r="R226" s="31" t="s">
        <v>468</v>
      </c>
    </row>
    <row r="227" spans="1:19">
      <c r="A227" s="17">
        <v>221</v>
      </c>
      <c r="B227" s="78" t="s">
        <v>603</v>
      </c>
      <c r="C227" s="18">
        <v>45681</v>
      </c>
      <c r="D227" s="17" t="s">
        <v>187</v>
      </c>
      <c r="E227" s="17" t="s">
        <v>22</v>
      </c>
      <c r="F227" s="17" t="s">
        <v>604</v>
      </c>
      <c r="G227" s="32">
        <v>45000</v>
      </c>
      <c r="H227" s="32">
        <f t="shared" si="12"/>
        <v>8100</v>
      </c>
      <c r="I227" s="32">
        <f t="shared" si="9"/>
        <v>53100</v>
      </c>
      <c r="J227" s="76" t="s">
        <v>35</v>
      </c>
      <c r="K227" s="19" t="s">
        <v>25</v>
      </c>
      <c r="L227" s="17"/>
      <c r="M227" s="18"/>
      <c r="N227" s="32"/>
      <c r="O227" s="22"/>
      <c r="P227" s="34" t="s">
        <v>515</v>
      </c>
      <c r="Q227" s="24" t="s">
        <v>37</v>
      </c>
      <c r="R227" s="33"/>
    </row>
    <row r="228" spans="1:19">
      <c r="A228" s="17">
        <v>222</v>
      </c>
      <c r="B228" s="78" t="s">
        <v>605</v>
      </c>
      <c r="C228" s="18">
        <v>45681</v>
      </c>
      <c r="D228" s="17" t="s">
        <v>362</v>
      </c>
      <c r="E228" s="17" t="s">
        <v>22</v>
      </c>
      <c r="F228" s="17" t="s">
        <v>606</v>
      </c>
      <c r="G228" s="32">
        <v>157625</v>
      </c>
      <c r="H228" s="32">
        <f t="shared" si="12"/>
        <v>28372.5</v>
      </c>
      <c r="I228" s="32">
        <f t="shared" si="9"/>
        <v>185997.5</v>
      </c>
      <c r="J228" s="76" t="s">
        <v>35</v>
      </c>
      <c r="K228" s="19" t="s">
        <v>25</v>
      </c>
      <c r="L228" s="17"/>
      <c r="M228" s="18"/>
      <c r="N228" s="32"/>
      <c r="O228" s="22"/>
      <c r="P228" s="34" t="s">
        <v>51</v>
      </c>
      <c r="Q228" s="25" t="s">
        <v>28</v>
      </c>
      <c r="R228" s="33"/>
    </row>
    <row r="229" spans="1:19">
      <c r="A229" s="17">
        <v>223</v>
      </c>
      <c r="B229" s="78" t="s">
        <v>607</v>
      </c>
      <c r="C229" s="18">
        <v>45684</v>
      </c>
      <c r="D229" s="17" t="s">
        <v>321</v>
      </c>
      <c r="E229" s="17" t="s">
        <v>22</v>
      </c>
      <c r="F229" s="17" t="s">
        <v>322</v>
      </c>
      <c r="G229" s="32">
        <f>64685.88+646.86</f>
        <v>65332.74</v>
      </c>
      <c r="H229" s="32">
        <f t="shared" si="12"/>
        <v>11759.893199999999</v>
      </c>
      <c r="I229" s="32">
        <f t="shared" si="9"/>
        <v>77092.633199999997</v>
      </c>
      <c r="J229" s="76" t="s">
        <v>35</v>
      </c>
      <c r="K229" s="19" t="s">
        <v>25</v>
      </c>
      <c r="L229" s="17"/>
      <c r="M229" s="18"/>
      <c r="N229" s="32"/>
      <c r="O229" s="22"/>
      <c r="P229" s="34" t="s">
        <v>36</v>
      </c>
      <c r="Q229" s="25" t="s">
        <v>28</v>
      </c>
      <c r="R229" s="33"/>
    </row>
    <row r="230" spans="1:19">
      <c r="A230" s="17">
        <v>224</v>
      </c>
      <c r="B230" s="78" t="s">
        <v>608</v>
      </c>
      <c r="C230" s="18">
        <v>45684</v>
      </c>
      <c r="D230" s="17" t="s">
        <v>82</v>
      </c>
      <c r="E230" s="17" t="s">
        <v>22</v>
      </c>
      <c r="F230" s="17" t="s">
        <v>83</v>
      </c>
      <c r="G230" s="32">
        <v>97637.4</v>
      </c>
      <c r="H230" s="32">
        <f t="shared" si="12"/>
        <v>17574.732</v>
      </c>
      <c r="I230" s="32">
        <f t="shared" si="9"/>
        <v>115212.132</v>
      </c>
      <c r="J230" s="76" t="s">
        <v>35</v>
      </c>
      <c r="K230" s="19" t="s">
        <v>25</v>
      </c>
      <c r="L230" s="17"/>
      <c r="M230" s="18"/>
      <c r="N230" s="32"/>
      <c r="O230" s="22"/>
      <c r="P230" s="34" t="s">
        <v>51</v>
      </c>
      <c r="Q230" s="25" t="s">
        <v>28</v>
      </c>
      <c r="R230" s="33"/>
    </row>
    <row r="231" spans="1:19">
      <c r="A231" s="17">
        <v>225</v>
      </c>
      <c r="B231" s="78" t="s">
        <v>609</v>
      </c>
      <c r="C231" s="18">
        <v>45684</v>
      </c>
      <c r="D231" s="17" t="s">
        <v>610</v>
      </c>
      <c r="E231" s="17" t="s">
        <v>157</v>
      </c>
      <c r="F231" s="17" t="s">
        <v>611</v>
      </c>
      <c r="G231" s="32">
        <v>408500</v>
      </c>
      <c r="H231" s="32">
        <f t="shared" si="12"/>
        <v>73530</v>
      </c>
      <c r="I231" s="32">
        <f t="shared" si="9"/>
        <v>482030</v>
      </c>
      <c r="J231" s="76" t="s">
        <v>35</v>
      </c>
      <c r="K231" s="19" t="s">
        <v>25</v>
      </c>
      <c r="L231" s="17"/>
      <c r="M231" s="18"/>
      <c r="N231" s="32"/>
      <c r="O231" s="22"/>
      <c r="P231" s="34" t="s">
        <v>36</v>
      </c>
      <c r="Q231" s="24" t="s">
        <v>37</v>
      </c>
      <c r="R231" s="33"/>
    </row>
    <row r="232" spans="1:19">
      <c r="A232" s="17">
        <v>226</v>
      </c>
      <c r="B232" s="78" t="s">
        <v>612</v>
      </c>
      <c r="C232" s="18">
        <v>45685</v>
      </c>
      <c r="D232" s="17" t="s">
        <v>290</v>
      </c>
      <c r="E232" s="17" t="s">
        <v>22</v>
      </c>
      <c r="F232" s="17" t="s">
        <v>613</v>
      </c>
      <c r="G232" s="32">
        <v>168000</v>
      </c>
      <c r="H232" s="32">
        <f t="shared" si="12"/>
        <v>30240</v>
      </c>
      <c r="I232" s="32">
        <f t="shared" si="9"/>
        <v>198240</v>
      </c>
      <c r="J232" s="76" t="s">
        <v>24</v>
      </c>
      <c r="K232" s="19" t="s">
        <v>25</v>
      </c>
      <c r="L232" s="17"/>
      <c r="M232" s="18"/>
      <c r="N232" s="32"/>
      <c r="O232" s="65" t="s">
        <v>614</v>
      </c>
      <c r="P232" s="34" t="s">
        <v>27</v>
      </c>
      <c r="Q232" s="24" t="s">
        <v>37</v>
      </c>
      <c r="R232" s="33"/>
    </row>
    <row r="233" spans="1:19">
      <c r="A233" s="17">
        <v>227</v>
      </c>
      <c r="B233" s="78" t="s">
        <v>615</v>
      </c>
      <c r="C233" s="18">
        <v>45685</v>
      </c>
      <c r="D233" s="17" t="s">
        <v>290</v>
      </c>
      <c r="E233" s="17" t="s">
        <v>22</v>
      </c>
      <c r="F233" s="17" t="s">
        <v>613</v>
      </c>
      <c r="G233" s="32">
        <v>70000</v>
      </c>
      <c r="H233" s="32">
        <f t="shared" si="12"/>
        <v>12600</v>
      </c>
      <c r="I233" s="32">
        <f t="shared" si="9"/>
        <v>82600</v>
      </c>
      <c r="J233" s="76" t="s">
        <v>24</v>
      </c>
      <c r="K233" s="19" t="s">
        <v>25</v>
      </c>
      <c r="L233" s="17"/>
      <c r="M233" s="18"/>
      <c r="N233" s="32"/>
      <c r="O233" s="22"/>
      <c r="P233" s="34" t="s">
        <v>51</v>
      </c>
      <c r="Q233" s="24" t="s">
        <v>37</v>
      </c>
      <c r="R233" s="33"/>
    </row>
    <row r="234" spans="1:19">
      <c r="A234" s="17">
        <v>228</v>
      </c>
      <c r="B234" s="78" t="s">
        <v>616</v>
      </c>
      <c r="C234" s="18">
        <v>45686</v>
      </c>
      <c r="D234" s="17" t="s">
        <v>59</v>
      </c>
      <c r="E234" s="17" t="s">
        <v>22</v>
      </c>
      <c r="F234" s="17" t="s">
        <v>60</v>
      </c>
      <c r="G234" s="32">
        <v>13985.6</v>
      </c>
      <c r="H234" s="32">
        <f t="shared" si="12"/>
        <v>2517.4079999999999</v>
      </c>
      <c r="I234" s="32">
        <f t="shared" si="9"/>
        <v>16503.008000000002</v>
      </c>
      <c r="J234" s="76" t="s">
        <v>35</v>
      </c>
      <c r="K234" s="19" t="s">
        <v>25</v>
      </c>
      <c r="L234" s="17"/>
      <c r="M234" s="18"/>
      <c r="N234" s="32"/>
      <c r="O234" s="22"/>
      <c r="P234" s="34" t="s">
        <v>51</v>
      </c>
      <c r="Q234" s="25" t="s">
        <v>28</v>
      </c>
      <c r="R234" s="33"/>
    </row>
    <row r="235" spans="1:19">
      <c r="A235" s="17">
        <v>229</v>
      </c>
      <c r="B235" s="78" t="s">
        <v>617</v>
      </c>
      <c r="C235" s="18">
        <v>45686</v>
      </c>
      <c r="D235" s="17" t="s">
        <v>62</v>
      </c>
      <c r="E235" s="17" t="s">
        <v>22</v>
      </c>
      <c r="F235" s="17" t="s">
        <v>63</v>
      </c>
      <c r="G235" s="32">
        <v>6788</v>
      </c>
      <c r="H235" s="32">
        <f t="shared" si="12"/>
        <v>1221.8399999999999</v>
      </c>
      <c r="I235" s="32">
        <f t="shared" si="9"/>
        <v>8009.84</v>
      </c>
      <c r="J235" s="76" t="s">
        <v>35</v>
      </c>
      <c r="K235" s="19" t="s">
        <v>25</v>
      </c>
      <c r="L235" s="17"/>
      <c r="M235" s="18"/>
      <c r="N235" s="32"/>
      <c r="O235" s="22"/>
      <c r="P235" s="34" t="s">
        <v>51</v>
      </c>
      <c r="Q235" s="25" t="s">
        <v>28</v>
      </c>
      <c r="R235" s="33"/>
    </row>
    <row r="236" spans="1:19">
      <c r="A236" s="17">
        <v>230</v>
      </c>
      <c r="B236" s="78" t="s">
        <v>618</v>
      </c>
      <c r="C236" s="18">
        <v>45686</v>
      </c>
      <c r="D236" s="17" t="s">
        <v>457</v>
      </c>
      <c r="E236" s="17" t="s">
        <v>22</v>
      </c>
      <c r="F236" s="17" t="s">
        <v>619</v>
      </c>
      <c r="G236" s="32">
        <v>70233</v>
      </c>
      <c r="H236" s="32">
        <f t="shared" si="12"/>
        <v>12641.939999999999</v>
      </c>
      <c r="I236" s="32">
        <f t="shared" si="9"/>
        <v>82874.94</v>
      </c>
      <c r="J236" s="76" t="s">
        <v>35</v>
      </c>
      <c r="K236" s="19" t="s">
        <v>25</v>
      </c>
      <c r="L236" s="17"/>
      <c r="M236" s="18"/>
      <c r="N236" s="32"/>
      <c r="O236" s="22"/>
      <c r="P236" s="34" t="s">
        <v>36</v>
      </c>
      <c r="Q236" s="24" t="s">
        <v>37</v>
      </c>
      <c r="R236" s="33"/>
    </row>
    <row r="237" spans="1:19">
      <c r="A237" s="17">
        <v>231</v>
      </c>
      <c r="B237" s="78" t="s">
        <v>620</v>
      </c>
      <c r="C237" s="18">
        <v>45687</v>
      </c>
      <c r="D237" s="17" t="s">
        <v>621</v>
      </c>
      <c r="E237" s="17" t="s">
        <v>22</v>
      </c>
      <c r="F237" s="17" t="s">
        <v>622</v>
      </c>
      <c r="G237" s="32">
        <v>44250</v>
      </c>
      <c r="H237" s="32">
        <f t="shared" si="12"/>
        <v>7965</v>
      </c>
      <c r="I237" s="32">
        <f t="shared" si="9"/>
        <v>52215</v>
      </c>
      <c r="J237" s="76" t="s">
        <v>24</v>
      </c>
      <c r="K237" s="19" t="s">
        <v>25</v>
      </c>
      <c r="L237" s="17"/>
      <c r="M237" s="18"/>
      <c r="N237" s="32"/>
      <c r="O237" s="22"/>
      <c r="P237" s="34" t="s">
        <v>51</v>
      </c>
      <c r="Q237" s="25" t="s">
        <v>28</v>
      </c>
      <c r="R237" s="33"/>
    </row>
    <row r="238" spans="1:19">
      <c r="A238" s="17">
        <v>232</v>
      </c>
      <c r="B238" s="78" t="s">
        <v>623</v>
      </c>
      <c r="C238" s="18">
        <v>45688</v>
      </c>
      <c r="D238" s="17" t="s">
        <v>160</v>
      </c>
      <c r="E238" s="17" t="s">
        <v>22</v>
      </c>
      <c r="F238" s="17" t="s">
        <v>624</v>
      </c>
      <c r="G238" s="32">
        <v>16800</v>
      </c>
      <c r="H238" s="32">
        <f t="shared" si="12"/>
        <v>3024</v>
      </c>
      <c r="I238" s="32">
        <f t="shared" si="9"/>
        <v>19824</v>
      </c>
      <c r="J238" s="76" t="s">
        <v>35</v>
      </c>
      <c r="K238" s="19" t="s">
        <v>25</v>
      </c>
      <c r="L238" s="17"/>
      <c r="M238" s="18"/>
      <c r="N238" s="32"/>
      <c r="O238" s="22"/>
      <c r="P238" s="34" t="s">
        <v>36</v>
      </c>
      <c r="Q238" s="24" t="s">
        <v>37</v>
      </c>
      <c r="R238" s="33"/>
    </row>
    <row r="239" spans="1:19">
      <c r="A239" s="17">
        <v>233</v>
      </c>
      <c r="B239" s="78" t="s">
        <v>625</v>
      </c>
      <c r="C239" s="18">
        <v>45688</v>
      </c>
      <c r="D239" s="17" t="s">
        <v>242</v>
      </c>
      <c r="E239" s="17" t="s">
        <v>22</v>
      </c>
      <c r="F239" s="17" t="s">
        <v>243</v>
      </c>
      <c r="G239" s="32">
        <v>622700</v>
      </c>
      <c r="H239" s="32">
        <f t="shared" si="12"/>
        <v>112086</v>
      </c>
      <c r="I239" s="32">
        <f t="shared" si="9"/>
        <v>734786</v>
      </c>
      <c r="J239" s="76" t="s">
        <v>24</v>
      </c>
      <c r="K239" s="19" t="s">
        <v>25</v>
      </c>
      <c r="L239" s="17"/>
      <c r="M239" s="18"/>
      <c r="N239" s="32"/>
      <c r="O239" s="65"/>
      <c r="P239" s="34" t="s">
        <v>51</v>
      </c>
      <c r="Q239" s="25" t="s">
        <v>28</v>
      </c>
      <c r="R239" s="31"/>
    </row>
    <row r="240" spans="1:19">
      <c r="A240" s="17">
        <v>234</v>
      </c>
      <c r="B240" s="78" t="s">
        <v>626</v>
      </c>
      <c r="C240" s="18">
        <v>45688</v>
      </c>
      <c r="D240" s="17" t="s">
        <v>251</v>
      </c>
      <c r="E240" s="17" t="s">
        <v>22</v>
      </c>
      <c r="F240" s="17" t="s">
        <v>627</v>
      </c>
      <c r="G240" s="32">
        <v>1200</v>
      </c>
      <c r="H240" s="32">
        <f t="shared" si="12"/>
        <v>216</v>
      </c>
      <c r="I240" s="32">
        <f t="shared" si="9"/>
        <v>1416</v>
      </c>
      <c r="J240" s="76" t="s">
        <v>24</v>
      </c>
      <c r="K240" s="19" t="s">
        <v>25</v>
      </c>
      <c r="L240" s="17"/>
      <c r="M240" s="18"/>
      <c r="N240" s="32"/>
      <c r="O240" s="22"/>
      <c r="P240" s="34" t="s">
        <v>515</v>
      </c>
      <c r="Q240" s="25" t="s">
        <v>28</v>
      </c>
      <c r="R240" s="33"/>
      <c r="S240" s="79"/>
    </row>
    <row r="241" spans="1:19">
      <c r="A241" s="17">
        <v>235</v>
      </c>
      <c r="B241" s="78" t="s">
        <v>628</v>
      </c>
      <c r="C241" s="18">
        <v>45689</v>
      </c>
      <c r="D241" s="17" t="s">
        <v>629</v>
      </c>
      <c r="E241" s="17" t="s">
        <v>22</v>
      </c>
      <c r="F241" s="17" t="s">
        <v>630</v>
      </c>
      <c r="G241" s="32">
        <v>14768</v>
      </c>
      <c r="H241" s="32">
        <f t="shared" ref="H241:H267" si="13">G241*18%</f>
        <v>2658.24</v>
      </c>
      <c r="I241" s="32">
        <f t="shared" si="9"/>
        <v>17426.239999999998</v>
      </c>
      <c r="J241" s="76" t="s">
        <v>35</v>
      </c>
      <c r="K241" s="19" t="s">
        <v>25</v>
      </c>
      <c r="L241" s="17"/>
      <c r="M241" s="18"/>
      <c r="N241" s="32"/>
      <c r="O241" s="65"/>
      <c r="P241" s="34" t="s">
        <v>36</v>
      </c>
      <c r="Q241" s="24" t="s">
        <v>37</v>
      </c>
      <c r="R241" s="31"/>
    </row>
    <row r="242" spans="1:19">
      <c r="A242" s="17">
        <v>236</v>
      </c>
      <c r="B242" s="78" t="s">
        <v>631</v>
      </c>
      <c r="C242" s="18">
        <v>45689</v>
      </c>
      <c r="D242" s="17" t="s">
        <v>632</v>
      </c>
      <c r="E242" s="17" t="s">
        <v>633</v>
      </c>
      <c r="F242" s="17" t="s">
        <v>634</v>
      </c>
      <c r="G242" s="32">
        <v>327888</v>
      </c>
      <c r="H242" s="32">
        <f t="shared" si="13"/>
        <v>59019.839999999997</v>
      </c>
      <c r="I242" s="32">
        <f t="shared" si="9"/>
        <v>386907.83999999997</v>
      </c>
      <c r="J242" s="76" t="s">
        <v>35</v>
      </c>
      <c r="K242" s="19" t="s">
        <v>25</v>
      </c>
      <c r="L242" s="17"/>
      <c r="M242" s="18"/>
      <c r="N242" s="32"/>
      <c r="O242" s="22"/>
      <c r="P242" s="34" t="s">
        <v>36</v>
      </c>
      <c r="Q242" s="24" t="s">
        <v>37</v>
      </c>
      <c r="R242" s="33"/>
    </row>
    <row r="243" spans="1:19" ht="14.25">
      <c r="A243" s="17">
        <v>237</v>
      </c>
      <c r="B243" s="78" t="s">
        <v>635</v>
      </c>
      <c r="C243" s="18">
        <v>45692</v>
      </c>
      <c r="D243" s="17" t="s">
        <v>338</v>
      </c>
      <c r="E243" s="17" t="s">
        <v>22</v>
      </c>
      <c r="F243" s="17" t="s">
        <v>636</v>
      </c>
      <c r="G243" s="32">
        <v>55538</v>
      </c>
      <c r="H243" s="32">
        <f t="shared" si="13"/>
        <v>9996.84</v>
      </c>
      <c r="I243" s="32">
        <f t="shared" si="9"/>
        <v>65534.84</v>
      </c>
      <c r="J243" s="76" t="s">
        <v>24</v>
      </c>
      <c r="K243" s="19" t="s">
        <v>25</v>
      </c>
      <c r="L243" s="17"/>
      <c r="M243" s="18"/>
      <c r="N243" s="32"/>
      <c r="O243" s="65" t="s">
        <v>474</v>
      </c>
      <c r="P243" s="34" t="s">
        <v>27</v>
      </c>
      <c r="Q243" s="25" t="s">
        <v>28</v>
      </c>
      <c r="R243" s="74" t="s">
        <v>475</v>
      </c>
    </row>
    <row r="244" spans="1:19">
      <c r="A244" s="17">
        <v>238</v>
      </c>
      <c r="B244" s="78" t="s">
        <v>637</v>
      </c>
      <c r="C244" s="18">
        <v>45692</v>
      </c>
      <c r="D244" s="17" t="s">
        <v>203</v>
      </c>
      <c r="E244" s="17" t="s">
        <v>22</v>
      </c>
      <c r="F244" s="17" t="s">
        <v>308</v>
      </c>
      <c r="G244" s="32">
        <v>11162.5</v>
      </c>
      <c r="H244" s="32">
        <f t="shared" si="13"/>
        <v>2009.25</v>
      </c>
      <c r="I244" s="32">
        <f t="shared" si="9"/>
        <v>13171.75</v>
      </c>
      <c r="J244" s="76" t="s">
        <v>35</v>
      </c>
      <c r="K244" s="19" t="s">
        <v>25</v>
      </c>
      <c r="L244" s="17"/>
      <c r="M244" s="18"/>
      <c r="N244" s="32"/>
      <c r="O244" s="22"/>
      <c r="P244" s="34" t="s">
        <v>51</v>
      </c>
      <c r="Q244" s="24" t="s">
        <v>37</v>
      </c>
      <c r="R244" s="33"/>
    </row>
    <row r="245" spans="1:19">
      <c r="A245" s="17">
        <v>239</v>
      </c>
      <c r="B245" s="78" t="s">
        <v>638</v>
      </c>
      <c r="C245" s="18">
        <v>45692</v>
      </c>
      <c r="D245" s="17" t="s">
        <v>639</v>
      </c>
      <c r="E245" s="17" t="s">
        <v>22</v>
      </c>
      <c r="F245" s="17" t="s">
        <v>640</v>
      </c>
      <c r="G245" s="32">
        <v>5800</v>
      </c>
      <c r="H245" s="32">
        <f t="shared" si="13"/>
        <v>1044</v>
      </c>
      <c r="I245" s="32">
        <f t="shared" si="9"/>
        <v>6844</v>
      </c>
      <c r="J245" s="76" t="s">
        <v>35</v>
      </c>
      <c r="K245" s="19" t="s">
        <v>25</v>
      </c>
      <c r="L245" s="17"/>
      <c r="M245" s="18"/>
      <c r="N245" s="32"/>
      <c r="O245" s="22"/>
      <c r="P245" s="34" t="s">
        <v>137</v>
      </c>
      <c r="Q245" s="24" t="s">
        <v>37</v>
      </c>
      <c r="R245" s="33"/>
    </row>
    <row r="246" spans="1:19" s="80" customFormat="1">
      <c r="A246" s="17">
        <v>240</v>
      </c>
      <c r="B246" s="78" t="s">
        <v>641</v>
      </c>
      <c r="C246" s="18">
        <v>45693</v>
      </c>
      <c r="D246" s="17" t="s">
        <v>621</v>
      </c>
      <c r="E246" s="17" t="s">
        <v>22</v>
      </c>
      <c r="F246" s="17" t="s">
        <v>622</v>
      </c>
      <c r="G246" s="32">
        <v>6400</v>
      </c>
      <c r="H246" s="32">
        <f t="shared" si="13"/>
        <v>1152</v>
      </c>
      <c r="I246" s="32">
        <f t="shared" si="9"/>
        <v>7552</v>
      </c>
      <c r="J246" s="76" t="s">
        <v>24</v>
      </c>
      <c r="K246" s="19" t="s">
        <v>25</v>
      </c>
      <c r="L246" s="17"/>
      <c r="M246" s="18"/>
      <c r="N246" s="32"/>
      <c r="O246" s="22"/>
      <c r="P246" s="34" t="s">
        <v>515</v>
      </c>
      <c r="Q246" s="25" t="s">
        <v>28</v>
      </c>
      <c r="R246" s="33"/>
      <c r="S246" s="36"/>
    </row>
    <row r="247" spans="1:19">
      <c r="A247" s="17">
        <v>241</v>
      </c>
      <c r="B247" s="78" t="s">
        <v>642</v>
      </c>
      <c r="C247" s="18">
        <v>45694</v>
      </c>
      <c r="D247" s="17" t="s">
        <v>134</v>
      </c>
      <c r="E247" s="17" t="s">
        <v>22</v>
      </c>
      <c r="F247" s="17" t="s">
        <v>281</v>
      </c>
      <c r="G247" s="32">
        <v>35000</v>
      </c>
      <c r="H247" s="32">
        <f t="shared" si="13"/>
        <v>6300</v>
      </c>
      <c r="I247" s="32">
        <f t="shared" si="9"/>
        <v>41300</v>
      </c>
      <c r="J247" s="76" t="s">
        <v>35</v>
      </c>
      <c r="K247" s="19" t="s">
        <v>25</v>
      </c>
      <c r="L247" s="17"/>
      <c r="M247" s="18"/>
      <c r="N247" s="32"/>
      <c r="O247" s="22"/>
      <c r="P247" s="34" t="s">
        <v>137</v>
      </c>
      <c r="Q247" s="24" t="s">
        <v>37</v>
      </c>
      <c r="R247" s="33"/>
    </row>
    <row r="248" spans="1:19">
      <c r="A248" s="17">
        <v>242</v>
      </c>
      <c r="B248" s="78" t="s">
        <v>643</v>
      </c>
      <c r="C248" s="18">
        <v>45695</v>
      </c>
      <c r="D248" s="17" t="s">
        <v>644</v>
      </c>
      <c r="E248" s="17" t="s">
        <v>22</v>
      </c>
      <c r="F248" s="17" t="s">
        <v>645</v>
      </c>
      <c r="G248" s="32">
        <f>44100+1323</f>
        <v>45423</v>
      </c>
      <c r="H248" s="32">
        <f t="shared" si="13"/>
        <v>8176.1399999999994</v>
      </c>
      <c r="I248" s="32">
        <f t="shared" si="9"/>
        <v>53599.14</v>
      </c>
      <c r="J248" s="76" t="s">
        <v>35</v>
      </c>
      <c r="K248" s="19" t="s">
        <v>25</v>
      </c>
      <c r="L248" s="17"/>
      <c r="M248" s="18"/>
      <c r="N248" s="32"/>
      <c r="O248" s="22"/>
      <c r="P248" s="34" t="s">
        <v>36</v>
      </c>
      <c r="Q248" s="24" t="s">
        <v>37</v>
      </c>
      <c r="R248" s="33"/>
    </row>
    <row r="249" spans="1:19" ht="14.25">
      <c r="A249" s="17">
        <v>243</v>
      </c>
      <c r="B249" s="78" t="s">
        <v>646</v>
      </c>
      <c r="C249" s="18">
        <v>45695</v>
      </c>
      <c r="D249" s="17" t="s">
        <v>338</v>
      </c>
      <c r="E249" s="17" t="s">
        <v>22</v>
      </c>
      <c r="F249" s="17" t="s">
        <v>636</v>
      </c>
      <c r="G249" s="32">
        <v>55538</v>
      </c>
      <c r="H249" s="32">
        <f t="shared" si="13"/>
        <v>9996.84</v>
      </c>
      <c r="I249" s="32">
        <f t="shared" si="9"/>
        <v>65534.84</v>
      </c>
      <c r="J249" s="76" t="s">
        <v>24</v>
      </c>
      <c r="K249" s="19" t="s">
        <v>25</v>
      </c>
      <c r="L249" s="17"/>
      <c r="M249" s="18"/>
      <c r="N249" s="32"/>
      <c r="O249" s="65" t="s">
        <v>467</v>
      </c>
      <c r="P249" s="34" t="s">
        <v>27</v>
      </c>
      <c r="Q249" s="25" t="s">
        <v>28</v>
      </c>
      <c r="R249" s="31" t="s">
        <v>468</v>
      </c>
    </row>
    <row r="250" spans="1:19">
      <c r="A250" s="17">
        <v>244</v>
      </c>
      <c r="B250" s="78" t="s">
        <v>647</v>
      </c>
      <c r="C250" s="18">
        <v>45698</v>
      </c>
      <c r="D250" s="17" t="s">
        <v>203</v>
      </c>
      <c r="E250" s="17" t="s">
        <v>22</v>
      </c>
      <c r="F250" s="17" t="s">
        <v>648</v>
      </c>
      <c r="G250" s="32">
        <v>3625</v>
      </c>
      <c r="H250" s="32">
        <f t="shared" si="13"/>
        <v>652.5</v>
      </c>
      <c r="I250" s="32">
        <f t="shared" si="9"/>
        <v>4277.5</v>
      </c>
      <c r="J250" s="76" t="s">
        <v>35</v>
      </c>
      <c r="K250" s="19" t="s">
        <v>25</v>
      </c>
      <c r="L250" s="17"/>
      <c r="M250" s="18"/>
      <c r="N250" s="32"/>
      <c r="O250" s="22"/>
      <c r="P250" s="34" t="s">
        <v>36</v>
      </c>
      <c r="Q250" s="24" t="s">
        <v>37</v>
      </c>
      <c r="R250" s="33"/>
    </row>
    <row r="251" spans="1:19">
      <c r="A251" s="17">
        <v>245</v>
      </c>
      <c r="B251" s="78" t="s">
        <v>649</v>
      </c>
      <c r="C251" s="18">
        <v>45698</v>
      </c>
      <c r="D251" s="17" t="s">
        <v>100</v>
      </c>
      <c r="E251" s="17" t="s">
        <v>22</v>
      </c>
      <c r="F251" s="17" t="s">
        <v>650</v>
      </c>
      <c r="G251" s="32">
        <v>4630</v>
      </c>
      <c r="H251" s="32">
        <f t="shared" si="13"/>
        <v>833.4</v>
      </c>
      <c r="I251" s="32">
        <f t="shared" si="9"/>
        <v>5463.4</v>
      </c>
      <c r="J251" s="76" t="s">
        <v>24</v>
      </c>
      <c r="K251" s="19" t="s">
        <v>25</v>
      </c>
      <c r="L251" s="17"/>
      <c r="M251" s="18"/>
      <c r="N251" s="32"/>
      <c r="O251" s="22"/>
      <c r="P251" s="34" t="s">
        <v>51</v>
      </c>
      <c r="Q251" s="24" t="s">
        <v>37</v>
      </c>
      <c r="R251" s="33"/>
    </row>
    <row r="252" spans="1:19">
      <c r="A252" s="17">
        <v>246</v>
      </c>
      <c r="B252" s="78" t="s">
        <v>651</v>
      </c>
      <c r="C252" s="18">
        <v>45706</v>
      </c>
      <c r="D252" s="17" t="s">
        <v>62</v>
      </c>
      <c r="E252" s="17" t="s">
        <v>22</v>
      </c>
      <c r="F252" s="17" t="s">
        <v>63</v>
      </c>
      <c r="G252" s="32">
        <v>3340</v>
      </c>
      <c r="H252" s="32">
        <f t="shared" si="13"/>
        <v>601.19999999999993</v>
      </c>
      <c r="I252" s="32">
        <f t="shared" si="9"/>
        <v>3941.2</v>
      </c>
      <c r="J252" s="76" t="s">
        <v>35</v>
      </c>
      <c r="K252" s="19" t="s">
        <v>25</v>
      </c>
      <c r="L252" s="17"/>
      <c r="M252" s="18"/>
      <c r="N252" s="32"/>
      <c r="O252" s="22"/>
      <c r="P252" s="34" t="s">
        <v>51</v>
      </c>
      <c r="Q252" s="25" t="s">
        <v>28</v>
      </c>
      <c r="R252" s="33"/>
    </row>
    <row r="253" spans="1:19">
      <c r="A253" s="17">
        <v>247</v>
      </c>
      <c r="B253" s="78" t="s">
        <v>652</v>
      </c>
      <c r="C253" s="18">
        <v>45709</v>
      </c>
      <c r="D253" s="17" t="s">
        <v>653</v>
      </c>
      <c r="E253" s="17" t="s">
        <v>22</v>
      </c>
      <c r="F253" s="17" t="s">
        <v>654</v>
      </c>
      <c r="G253" s="32">
        <v>3990</v>
      </c>
      <c r="H253" s="32">
        <f t="shared" si="13"/>
        <v>718.19999999999993</v>
      </c>
      <c r="I253" s="32">
        <f t="shared" si="9"/>
        <v>4708.2</v>
      </c>
      <c r="J253" s="76" t="s">
        <v>35</v>
      </c>
      <c r="K253" s="19" t="s">
        <v>25</v>
      </c>
      <c r="L253" s="17"/>
      <c r="M253" s="18"/>
      <c r="N253" s="32"/>
      <c r="O253" s="22"/>
      <c r="P253" s="34" t="s">
        <v>515</v>
      </c>
      <c r="Q253" s="24" t="s">
        <v>37</v>
      </c>
      <c r="R253" s="33"/>
    </row>
    <row r="254" spans="1:19">
      <c r="A254" s="17">
        <v>248</v>
      </c>
      <c r="B254" s="78" t="s">
        <v>655</v>
      </c>
      <c r="C254" s="18">
        <v>45714</v>
      </c>
      <c r="D254" s="17" t="s">
        <v>656</v>
      </c>
      <c r="E254" s="17" t="s">
        <v>22</v>
      </c>
      <c r="F254" s="17" t="s">
        <v>657</v>
      </c>
      <c r="G254" s="32">
        <v>30304</v>
      </c>
      <c r="H254" s="32">
        <f t="shared" si="13"/>
        <v>5454.7199999999993</v>
      </c>
      <c r="I254" s="32">
        <f t="shared" si="9"/>
        <v>35758.720000000001</v>
      </c>
      <c r="J254" s="76" t="s">
        <v>35</v>
      </c>
      <c r="K254" s="19" t="s">
        <v>25</v>
      </c>
      <c r="L254" s="17"/>
      <c r="M254" s="18"/>
      <c r="N254" s="32"/>
      <c r="O254" s="22"/>
      <c r="P254" s="34" t="s">
        <v>36</v>
      </c>
      <c r="Q254" s="25" t="s">
        <v>28</v>
      </c>
      <c r="R254" s="33"/>
    </row>
    <row r="255" spans="1:19">
      <c r="A255" s="17">
        <v>249</v>
      </c>
      <c r="B255" s="78" t="s">
        <v>658</v>
      </c>
      <c r="C255" s="18">
        <v>45715</v>
      </c>
      <c r="D255" s="17" t="s">
        <v>126</v>
      </c>
      <c r="E255" s="17" t="s">
        <v>22</v>
      </c>
      <c r="F255" s="17" t="s">
        <v>659</v>
      </c>
      <c r="G255" s="32">
        <v>55598.400000000001</v>
      </c>
      <c r="H255" s="32">
        <f t="shared" si="13"/>
        <v>10007.712</v>
      </c>
      <c r="I255" s="32">
        <f t="shared" si="9"/>
        <v>65606.111999999994</v>
      </c>
      <c r="J255" s="76" t="s">
        <v>35</v>
      </c>
      <c r="K255" s="19" t="s">
        <v>25</v>
      </c>
      <c r="L255" s="17"/>
      <c r="M255" s="18"/>
      <c r="N255" s="32"/>
      <c r="O255" s="65"/>
      <c r="P255" s="34" t="s">
        <v>36</v>
      </c>
      <c r="Q255" s="25" t="s">
        <v>28</v>
      </c>
      <c r="R255" s="31"/>
    </row>
    <row r="256" spans="1:19">
      <c r="A256" s="17">
        <v>250</v>
      </c>
      <c r="B256" s="78" t="s">
        <v>660</v>
      </c>
      <c r="C256" s="18">
        <v>45715</v>
      </c>
      <c r="D256" s="17" t="s">
        <v>418</v>
      </c>
      <c r="E256" s="17" t="s">
        <v>224</v>
      </c>
      <c r="F256" s="17" t="s">
        <v>661</v>
      </c>
      <c r="G256" s="32">
        <v>117720</v>
      </c>
      <c r="H256" s="32">
        <f t="shared" si="13"/>
        <v>21189.599999999999</v>
      </c>
      <c r="I256" s="32">
        <f t="shared" si="9"/>
        <v>138909.6</v>
      </c>
      <c r="J256" s="76" t="s">
        <v>35</v>
      </c>
      <c r="K256" s="19" t="s">
        <v>25</v>
      </c>
      <c r="L256" s="17"/>
      <c r="M256" s="18"/>
      <c r="N256" s="32"/>
      <c r="O256" s="22"/>
      <c r="P256" s="34" t="s">
        <v>36</v>
      </c>
      <c r="Q256" s="24" t="s">
        <v>37</v>
      </c>
      <c r="R256" s="33"/>
    </row>
    <row r="257" spans="1:18">
      <c r="A257" s="17">
        <v>251</v>
      </c>
      <c r="B257" s="78" t="s">
        <v>662</v>
      </c>
      <c r="C257" s="18">
        <v>45715</v>
      </c>
      <c r="D257" s="81" t="s">
        <v>392</v>
      </c>
      <c r="E257" s="81" t="s">
        <v>157</v>
      </c>
      <c r="F257" s="17" t="s">
        <v>663</v>
      </c>
      <c r="G257" s="82">
        <f>62700+627</f>
        <v>63327</v>
      </c>
      <c r="H257" s="82">
        <f t="shared" si="13"/>
        <v>11398.859999999999</v>
      </c>
      <c r="I257" s="82">
        <f t="shared" si="9"/>
        <v>74725.86</v>
      </c>
      <c r="J257" s="76" t="s">
        <v>35</v>
      </c>
      <c r="K257" s="83" t="s">
        <v>25</v>
      </c>
      <c r="L257" s="84"/>
      <c r="M257" s="84"/>
      <c r="N257" s="84"/>
      <c r="O257" s="84"/>
      <c r="P257" s="34" t="s">
        <v>36</v>
      </c>
      <c r="Q257" s="25" t="s">
        <v>28</v>
      </c>
      <c r="R257" s="31"/>
    </row>
    <row r="258" spans="1:18">
      <c r="A258" s="17">
        <v>252</v>
      </c>
      <c r="B258" s="78" t="s">
        <v>664</v>
      </c>
      <c r="C258" s="18">
        <v>45715</v>
      </c>
      <c r="D258" s="17" t="s">
        <v>665</v>
      </c>
      <c r="E258" s="17" t="s">
        <v>157</v>
      </c>
      <c r="F258" s="17" t="s">
        <v>666</v>
      </c>
      <c r="G258" s="32">
        <v>37000</v>
      </c>
      <c r="H258" s="32">
        <f t="shared" si="13"/>
        <v>6660</v>
      </c>
      <c r="I258" s="32">
        <f t="shared" si="9"/>
        <v>43660</v>
      </c>
      <c r="J258" s="76" t="s">
        <v>35</v>
      </c>
      <c r="K258" s="19" t="s">
        <v>25</v>
      </c>
      <c r="L258" s="17"/>
      <c r="M258" s="18"/>
      <c r="N258" s="32"/>
      <c r="O258" s="65"/>
      <c r="P258" s="34" t="s">
        <v>36</v>
      </c>
      <c r="Q258" s="25" t="s">
        <v>28</v>
      </c>
      <c r="R258" s="33"/>
    </row>
    <row r="259" spans="1:18">
      <c r="A259" s="17">
        <v>253</v>
      </c>
      <c r="B259" s="78" t="s">
        <v>667</v>
      </c>
      <c r="C259" s="18">
        <v>45719</v>
      </c>
      <c r="D259" s="17" t="s">
        <v>668</v>
      </c>
      <c r="E259" s="17" t="s">
        <v>22</v>
      </c>
      <c r="F259" s="17" t="s">
        <v>669</v>
      </c>
      <c r="G259" s="32"/>
      <c r="H259" s="32">
        <f t="shared" si="13"/>
        <v>0</v>
      </c>
      <c r="I259" s="32">
        <f t="shared" si="9"/>
        <v>0</v>
      </c>
      <c r="J259" s="76" t="s">
        <v>35</v>
      </c>
      <c r="K259" s="19" t="s">
        <v>25</v>
      </c>
      <c r="L259" s="17"/>
      <c r="M259" s="18"/>
      <c r="N259" s="32"/>
      <c r="O259" s="22"/>
      <c r="P259" s="34" t="s">
        <v>36</v>
      </c>
      <c r="Q259" s="25" t="s">
        <v>28</v>
      </c>
      <c r="R259" s="33"/>
    </row>
    <row r="260" spans="1:18">
      <c r="A260" s="17">
        <v>254</v>
      </c>
      <c r="B260" s="78" t="s">
        <v>670</v>
      </c>
      <c r="C260" s="18">
        <v>45720</v>
      </c>
      <c r="D260" s="17" t="s">
        <v>134</v>
      </c>
      <c r="E260" s="17" t="s">
        <v>22</v>
      </c>
      <c r="F260" s="17" t="s">
        <v>234</v>
      </c>
      <c r="G260" s="32">
        <v>137200</v>
      </c>
      <c r="H260" s="32">
        <f t="shared" si="13"/>
        <v>24696</v>
      </c>
      <c r="I260" s="32">
        <f t="shared" si="9"/>
        <v>161896</v>
      </c>
      <c r="J260" s="76" t="s">
        <v>35</v>
      </c>
      <c r="K260" s="19" t="s">
        <v>25</v>
      </c>
      <c r="L260" s="17" t="s">
        <v>671</v>
      </c>
      <c r="M260" s="18">
        <v>45736</v>
      </c>
      <c r="N260" s="32">
        <v>168834</v>
      </c>
      <c r="O260" s="22"/>
      <c r="P260" s="34" t="s">
        <v>137</v>
      </c>
      <c r="Q260" s="24" t="s">
        <v>37</v>
      </c>
      <c r="R260" s="33"/>
    </row>
    <row r="261" spans="1:18">
      <c r="A261" s="17">
        <v>255</v>
      </c>
      <c r="B261" s="78" t="s">
        <v>672</v>
      </c>
      <c r="C261" s="18">
        <v>45720</v>
      </c>
      <c r="D261" s="17" t="s">
        <v>673</v>
      </c>
      <c r="E261" s="17" t="s">
        <v>22</v>
      </c>
      <c r="F261" s="17" t="s">
        <v>674</v>
      </c>
      <c r="G261" s="32">
        <v>93000</v>
      </c>
      <c r="H261" s="32">
        <f t="shared" si="13"/>
        <v>16740</v>
      </c>
      <c r="I261" s="32">
        <f t="shared" si="9"/>
        <v>109740</v>
      </c>
      <c r="J261" s="76" t="s">
        <v>35</v>
      </c>
      <c r="K261" s="19" t="s">
        <v>25</v>
      </c>
      <c r="L261" s="17"/>
      <c r="M261" s="18"/>
      <c r="N261" s="32"/>
      <c r="O261" s="65"/>
      <c r="P261" s="34" t="s">
        <v>36</v>
      </c>
      <c r="Q261" s="24" t="s">
        <v>37</v>
      </c>
      <c r="R261" s="31"/>
    </row>
    <row r="262" spans="1:18">
      <c r="A262" s="17">
        <v>256</v>
      </c>
      <c r="B262" s="78" t="s">
        <v>675</v>
      </c>
      <c r="C262" s="18">
        <v>45721</v>
      </c>
      <c r="D262" s="17" t="s">
        <v>53</v>
      </c>
      <c r="E262" s="17" t="s">
        <v>22</v>
      </c>
      <c r="F262" s="17" t="s">
        <v>54</v>
      </c>
      <c r="G262" s="32">
        <v>7525</v>
      </c>
      <c r="H262" s="32">
        <f t="shared" si="13"/>
        <v>1354.5</v>
      </c>
      <c r="I262" s="32">
        <f t="shared" si="9"/>
        <v>8879.5</v>
      </c>
      <c r="J262" s="76" t="s">
        <v>35</v>
      </c>
      <c r="K262" s="19" t="s">
        <v>25</v>
      </c>
      <c r="L262" s="17"/>
      <c r="M262" s="18"/>
      <c r="N262" s="32"/>
      <c r="O262" s="22"/>
      <c r="P262" s="34" t="s">
        <v>51</v>
      </c>
      <c r="Q262" s="25" t="s">
        <v>28</v>
      </c>
      <c r="R262" s="33"/>
    </row>
    <row r="263" spans="1:18">
      <c r="A263" s="17">
        <v>257</v>
      </c>
      <c r="B263" s="78" t="s">
        <v>676</v>
      </c>
      <c r="C263" s="18">
        <v>45721</v>
      </c>
      <c r="D263" s="17" t="s">
        <v>49</v>
      </c>
      <c r="E263" s="17" t="s">
        <v>22</v>
      </c>
      <c r="F263" s="17" t="s">
        <v>50</v>
      </c>
      <c r="G263" s="32">
        <v>12164</v>
      </c>
      <c r="H263" s="32">
        <f t="shared" si="13"/>
        <v>2189.52</v>
      </c>
      <c r="I263" s="32">
        <f t="shared" si="9"/>
        <v>14353.52</v>
      </c>
      <c r="J263" s="76" t="s">
        <v>35</v>
      </c>
      <c r="K263" s="19" t="s">
        <v>25</v>
      </c>
      <c r="L263" s="17"/>
      <c r="M263" s="18"/>
      <c r="N263" s="32"/>
      <c r="O263" s="22"/>
      <c r="P263" s="34" t="s">
        <v>51</v>
      </c>
      <c r="Q263" s="25" t="s">
        <v>28</v>
      </c>
      <c r="R263" s="33"/>
    </row>
    <row r="264" spans="1:18">
      <c r="A264" s="17">
        <v>258</v>
      </c>
      <c r="B264" s="78" t="s">
        <v>677</v>
      </c>
      <c r="C264" s="18">
        <v>45721</v>
      </c>
      <c r="D264" s="17" t="s">
        <v>62</v>
      </c>
      <c r="E264" s="17" t="s">
        <v>22</v>
      </c>
      <c r="F264" s="17" t="s">
        <v>678</v>
      </c>
      <c r="G264" s="32">
        <v>2602.5</v>
      </c>
      <c r="H264" s="32">
        <f t="shared" si="13"/>
        <v>468.45</v>
      </c>
      <c r="I264" s="32">
        <f t="shared" si="9"/>
        <v>3070.95</v>
      </c>
      <c r="J264" s="76" t="s">
        <v>35</v>
      </c>
      <c r="K264" s="19" t="s">
        <v>25</v>
      </c>
      <c r="L264" s="17"/>
      <c r="M264" s="18"/>
      <c r="N264" s="32"/>
      <c r="O264" s="65"/>
      <c r="P264" s="34" t="s">
        <v>51</v>
      </c>
      <c r="Q264" s="25" t="s">
        <v>28</v>
      </c>
      <c r="R264" s="31"/>
    </row>
    <row r="265" spans="1:18">
      <c r="A265" s="17">
        <v>259</v>
      </c>
      <c r="B265" s="78" t="s">
        <v>679</v>
      </c>
      <c r="C265" s="18">
        <v>45723</v>
      </c>
      <c r="D265" s="17" t="s">
        <v>242</v>
      </c>
      <c r="E265" s="17" t="s">
        <v>22</v>
      </c>
      <c r="F265" s="17" t="s">
        <v>243</v>
      </c>
      <c r="G265" s="32">
        <v>302850</v>
      </c>
      <c r="H265" s="32">
        <f t="shared" si="13"/>
        <v>54513</v>
      </c>
      <c r="I265" s="32">
        <f t="shared" si="9"/>
        <v>357363</v>
      </c>
      <c r="J265" s="76" t="s">
        <v>35</v>
      </c>
      <c r="K265" s="19" t="s">
        <v>25</v>
      </c>
      <c r="L265" s="17"/>
      <c r="M265" s="18"/>
      <c r="N265" s="32"/>
      <c r="O265" s="22"/>
      <c r="P265" s="34" t="s">
        <v>51</v>
      </c>
      <c r="Q265" s="25" t="s">
        <v>28</v>
      </c>
      <c r="R265" s="33"/>
    </row>
    <row r="266" spans="1:18">
      <c r="A266" s="17">
        <v>260</v>
      </c>
      <c r="B266" s="78" t="s">
        <v>680</v>
      </c>
      <c r="C266" s="18">
        <v>45728</v>
      </c>
      <c r="D266" s="17" t="s">
        <v>134</v>
      </c>
      <c r="E266" s="17" t="s">
        <v>22</v>
      </c>
      <c r="F266" s="17" t="s">
        <v>281</v>
      </c>
      <c r="G266" s="32">
        <v>35875</v>
      </c>
      <c r="H266" s="32">
        <f t="shared" si="13"/>
        <v>6457.5</v>
      </c>
      <c r="I266" s="32">
        <f t="shared" si="9"/>
        <v>42332.5</v>
      </c>
      <c r="J266" s="76" t="s">
        <v>35</v>
      </c>
      <c r="K266" s="19" t="s">
        <v>25</v>
      </c>
      <c r="L266" s="17"/>
      <c r="M266" s="18"/>
      <c r="N266" s="32"/>
      <c r="O266" s="22"/>
      <c r="P266" s="34" t="s">
        <v>137</v>
      </c>
      <c r="Q266" s="24" t="s">
        <v>37</v>
      </c>
      <c r="R266" s="33"/>
    </row>
    <row r="267" spans="1:18">
      <c r="A267" s="17">
        <v>261</v>
      </c>
      <c r="B267" s="78" t="s">
        <v>681</v>
      </c>
      <c r="C267" s="18">
        <v>45728</v>
      </c>
      <c r="D267" s="17" t="s">
        <v>209</v>
      </c>
      <c r="E267" s="17" t="s">
        <v>22</v>
      </c>
      <c r="F267" s="17" t="s">
        <v>210</v>
      </c>
      <c r="G267" s="32">
        <v>97750.6</v>
      </c>
      <c r="H267" s="32">
        <f t="shared" si="13"/>
        <v>17595.108</v>
      </c>
      <c r="I267" s="32">
        <f t="shared" si="9"/>
        <v>115345.70800000001</v>
      </c>
      <c r="J267" s="76" t="s">
        <v>35</v>
      </c>
      <c r="K267" s="19" t="s">
        <v>25</v>
      </c>
      <c r="L267" s="17"/>
      <c r="M267" s="18"/>
      <c r="N267" s="32"/>
      <c r="O267" s="22"/>
      <c r="P267" s="34" t="s">
        <v>36</v>
      </c>
      <c r="Q267" s="25" t="s">
        <v>28</v>
      </c>
      <c r="R267" s="33"/>
    </row>
    <row r="268" spans="1:18">
      <c r="A268" s="17">
        <v>262</v>
      </c>
      <c r="B268" s="78" t="s">
        <v>682</v>
      </c>
      <c r="C268" s="18">
        <v>45729</v>
      </c>
      <c r="D268" s="17" t="s">
        <v>220</v>
      </c>
      <c r="E268" s="17" t="s">
        <v>22</v>
      </c>
      <c r="F268" s="17" t="s">
        <v>221</v>
      </c>
      <c r="G268" s="32">
        <v>21002</v>
      </c>
      <c r="H268" s="32">
        <f>G268*28%</f>
        <v>5880.56</v>
      </c>
      <c r="I268" s="32">
        <f t="shared" si="9"/>
        <v>26882.560000000001</v>
      </c>
      <c r="J268" s="76" t="s">
        <v>35</v>
      </c>
      <c r="K268" s="19" t="s">
        <v>25</v>
      </c>
      <c r="L268" s="17"/>
      <c r="M268" s="18"/>
      <c r="N268" s="32"/>
      <c r="O268" s="22"/>
      <c r="P268" s="34" t="s">
        <v>51</v>
      </c>
      <c r="Q268" s="24" t="s">
        <v>37</v>
      </c>
      <c r="R268" s="33"/>
    </row>
    <row r="269" spans="1:18">
      <c r="A269" s="17">
        <v>263</v>
      </c>
      <c r="B269" s="78" t="s">
        <v>683</v>
      </c>
      <c r="C269" s="18">
        <v>45733</v>
      </c>
      <c r="D269" s="17" t="s">
        <v>82</v>
      </c>
      <c r="E269" s="17" t="s">
        <v>22</v>
      </c>
      <c r="F269" s="17" t="s">
        <v>83</v>
      </c>
      <c r="G269" s="32">
        <v>15573.6</v>
      </c>
      <c r="H269" s="32">
        <f t="shared" ref="H269:H281" si="14">G269*18%</f>
        <v>2803.248</v>
      </c>
      <c r="I269" s="32">
        <f t="shared" si="9"/>
        <v>18376.848000000002</v>
      </c>
      <c r="J269" s="76" t="s">
        <v>35</v>
      </c>
      <c r="K269" s="19" t="s">
        <v>25</v>
      </c>
      <c r="L269" s="17"/>
      <c r="M269" s="18"/>
      <c r="N269" s="32"/>
      <c r="O269" s="22"/>
      <c r="P269" s="34" t="s">
        <v>51</v>
      </c>
      <c r="Q269" s="25" t="s">
        <v>28</v>
      </c>
      <c r="R269" s="33"/>
    </row>
    <row r="270" spans="1:18">
      <c r="A270" s="17">
        <v>264</v>
      </c>
      <c r="B270" s="78" t="s">
        <v>684</v>
      </c>
      <c r="C270" s="18">
        <v>45733</v>
      </c>
      <c r="D270" s="17" t="s">
        <v>685</v>
      </c>
      <c r="E270" s="17" t="s">
        <v>22</v>
      </c>
      <c r="F270" s="17" t="s">
        <v>686</v>
      </c>
      <c r="G270" s="32">
        <v>1243.1199999999999</v>
      </c>
      <c r="H270" s="32">
        <f t="shared" si="14"/>
        <v>223.76159999999996</v>
      </c>
      <c r="I270" s="32">
        <f t="shared" si="9"/>
        <v>1466.8815999999999</v>
      </c>
      <c r="J270" s="76" t="s">
        <v>35</v>
      </c>
      <c r="K270" s="19" t="s">
        <v>25</v>
      </c>
      <c r="L270" s="17"/>
      <c r="M270" s="18"/>
      <c r="N270" s="32"/>
      <c r="O270" s="22"/>
      <c r="P270" s="34" t="s">
        <v>51</v>
      </c>
      <c r="Q270" s="25" t="s">
        <v>28</v>
      </c>
      <c r="R270" s="33"/>
    </row>
    <row r="271" spans="1:18">
      <c r="A271" s="17">
        <v>265</v>
      </c>
      <c r="B271" s="78" t="s">
        <v>687</v>
      </c>
      <c r="C271" s="18">
        <v>45733</v>
      </c>
      <c r="D271" s="17" t="s">
        <v>688</v>
      </c>
      <c r="E271" s="17" t="s">
        <v>22</v>
      </c>
      <c r="F271" s="17" t="s">
        <v>689</v>
      </c>
      <c r="G271" s="32">
        <v>36819</v>
      </c>
      <c r="H271" s="32">
        <f t="shared" si="14"/>
        <v>6627.42</v>
      </c>
      <c r="I271" s="32">
        <f t="shared" si="9"/>
        <v>43446.42</v>
      </c>
      <c r="J271" s="76" t="s">
        <v>35</v>
      </c>
      <c r="K271" s="19" t="s">
        <v>25</v>
      </c>
      <c r="L271" s="17"/>
      <c r="M271" s="18"/>
      <c r="N271" s="32"/>
      <c r="O271" s="65"/>
      <c r="P271" s="34" t="s">
        <v>51</v>
      </c>
      <c r="Q271" s="24" t="s">
        <v>37</v>
      </c>
      <c r="R271" s="33"/>
    </row>
    <row r="272" spans="1:18">
      <c r="A272" s="17">
        <v>266</v>
      </c>
      <c r="B272" s="78" t="s">
        <v>690</v>
      </c>
      <c r="C272" s="18">
        <v>45733</v>
      </c>
      <c r="D272" s="17" t="s">
        <v>59</v>
      </c>
      <c r="E272" s="17" t="s">
        <v>22</v>
      </c>
      <c r="F272" s="17" t="s">
        <v>60</v>
      </c>
      <c r="G272" s="32">
        <v>1332</v>
      </c>
      <c r="H272" s="32">
        <f t="shared" si="14"/>
        <v>239.76</v>
      </c>
      <c r="I272" s="32">
        <f t="shared" si="9"/>
        <v>1571.76</v>
      </c>
      <c r="J272" s="76" t="s">
        <v>35</v>
      </c>
      <c r="K272" s="19" t="s">
        <v>25</v>
      </c>
      <c r="L272" s="17"/>
      <c r="M272" s="18"/>
      <c r="N272" s="32"/>
      <c r="O272" s="22"/>
      <c r="P272" s="34" t="s">
        <v>51</v>
      </c>
      <c r="Q272" s="25" t="s">
        <v>28</v>
      </c>
      <c r="R272" s="33"/>
    </row>
    <row r="273" spans="1:18">
      <c r="A273" s="17">
        <v>267</v>
      </c>
      <c r="B273" s="85" t="s">
        <v>691</v>
      </c>
      <c r="C273" s="18">
        <v>45736</v>
      </c>
      <c r="D273" s="17" t="s">
        <v>53</v>
      </c>
      <c r="E273" s="17" t="s">
        <v>22</v>
      </c>
      <c r="F273" s="17" t="s">
        <v>692</v>
      </c>
      <c r="G273" s="32">
        <v>3920</v>
      </c>
      <c r="H273" s="32">
        <f t="shared" si="14"/>
        <v>705.6</v>
      </c>
      <c r="I273" s="32">
        <f t="shared" si="9"/>
        <v>4625.6000000000004</v>
      </c>
      <c r="J273" s="76" t="s">
        <v>35</v>
      </c>
      <c r="K273" s="19" t="s">
        <v>25</v>
      </c>
      <c r="L273" s="17"/>
      <c r="M273" s="18"/>
      <c r="N273" s="32"/>
      <c r="O273" s="22"/>
      <c r="P273" s="34" t="s">
        <v>693</v>
      </c>
      <c r="Q273" s="25" t="s">
        <v>28</v>
      </c>
      <c r="R273" s="33"/>
    </row>
    <row r="274" spans="1:18">
      <c r="A274" s="17">
        <v>268</v>
      </c>
      <c r="B274" s="78" t="s">
        <v>694</v>
      </c>
      <c r="C274" s="18">
        <v>45740</v>
      </c>
      <c r="D274" s="17" t="s">
        <v>695</v>
      </c>
      <c r="E274" s="17" t="s">
        <v>22</v>
      </c>
      <c r="F274" s="17" t="s">
        <v>696</v>
      </c>
      <c r="G274" s="32">
        <v>9534.9</v>
      </c>
      <c r="H274" s="32">
        <f t="shared" si="14"/>
        <v>1716.2819999999999</v>
      </c>
      <c r="I274" s="32">
        <f t="shared" si="9"/>
        <v>11251.181999999999</v>
      </c>
      <c r="J274" s="76" t="s">
        <v>35</v>
      </c>
      <c r="K274" s="19" t="s">
        <v>25</v>
      </c>
      <c r="L274" s="17"/>
      <c r="M274" s="18"/>
      <c r="N274" s="32"/>
      <c r="O274" s="22"/>
      <c r="P274" s="34" t="s">
        <v>515</v>
      </c>
      <c r="Q274" s="25" t="s">
        <v>28</v>
      </c>
      <c r="R274" s="33"/>
    </row>
    <row r="275" spans="1:18">
      <c r="A275" s="17">
        <v>269</v>
      </c>
      <c r="B275" s="78" t="s">
        <v>697</v>
      </c>
      <c r="C275" s="18">
        <v>45740</v>
      </c>
      <c r="D275" s="17" t="s">
        <v>668</v>
      </c>
      <c r="E275" s="17" t="s">
        <v>22</v>
      </c>
      <c r="F275" s="17" t="s">
        <v>669</v>
      </c>
      <c r="G275" s="32"/>
      <c r="H275" s="32">
        <f t="shared" si="14"/>
        <v>0</v>
      </c>
      <c r="I275" s="32">
        <f t="shared" si="9"/>
        <v>0</v>
      </c>
      <c r="J275" s="76" t="s">
        <v>35</v>
      </c>
      <c r="K275" s="19" t="s">
        <v>25</v>
      </c>
      <c r="L275" s="17"/>
      <c r="M275" s="18"/>
      <c r="N275" s="32"/>
      <c r="O275" s="22"/>
      <c r="P275" s="34" t="s">
        <v>36</v>
      </c>
      <c r="Q275" s="25" t="s">
        <v>28</v>
      </c>
      <c r="R275" s="33"/>
    </row>
    <row r="276" spans="1:18">
      <c r="A276" s="17">
        <v>270</v>
      </c>
      <c r="B276" s="78" t="s">
        <v>698</v>
      </c>
      <c r="C276" s="18">
        <v>45740</v>
      </c>
      <c r="D276" s="17" t="s">
        <v>32</v>
      </c>
      <c r="E276" s="17" t="s">
        <v>46</v>
      </c>
      <c r="F276" s="17" t="s">
        <v>669</v>
      </c>
      <c r="G276" s="32">
        <v>1488000</v>
      </c>
      <c r="H276" s="32">
        <f t="shared" si="14"/>
        <v>267840</v>
      </c>
      <c r="I276" s="32">
        <f t="shared" si="9"/>
        <v>1755840</v>
      </c>
      <c r="J276" s="76" t="s">
        <v>35</v>
      </c>
      <c r="K276" s="19" t="s">
        <v>25</v>
      </c>
      <c r="L276" s="17"/>
      <c r="M276" s="18"/>
      <c r="N276" s="32"/>
      <c r="O276" s="22"/>
      <c r="P276" s="34" t="s">
        <v>36</v>
      </c>
      <c r="Q276" s="24" t="s">
        <v>37</v>
      </c>
      <c r="R276" s="33"/>
    </row>
    <row r="277" spans="1:18">
      <c r="A277" s="17">
        <v>271</v>
      </c>
      <c r="B277" s="78" t="s">
        <v>699</v>
      </c>
      <c r="C277" s="18">
        <v>45740</v>
      </c>
      <c r="D277" s="17" t="s">
        <v>82</v>
      </c>
      <c r="E277" s="17" t="s">
        <v>22</v>
      </c>
      <c r="F277" s="17" t="s">
        <v>83</v>
      </c>
      <c r="G277" s="32">
        <v>64791.9</v>
      </c>
      <c r="H277" s="32">
        <f t="shared" si="14"/>
        <v>11662.541999999999</v>
      </c>
      <c r="I277" s="32">
        <f t="shared" si="9"/>
        <v>76454.441999999995</v>
      </c>
      <c r="J277" s="76" t="s">
        <v>35</v>
      </c>
      <c r="K277" s="19" t="s">
        <v>25</v>
      </c>
      <c r="L277" s="17"/>
      <c r="M277" s="18"/>
      <c r="N277" s="32"/>
      <c r="O277" s="22"/>
      <c r="P277" s="34" t="s">
        <v>51</v>
      </c>
      <c r="Q277" s="25" t="s">
        <v>28</v>
      </c>
      <c r="R277" s="33"/>
    </row>
    <row r="278" spans="1:18">
      <c r="A278" s="17">
        <v>272</v>
      </c>
      <c r="B278" s="78" t="s">
        <v>700</v>
      </c>
      <c r="C278" s="18">
        <v>45740</v>
      </c>
      <c r="D278" s="17" t="s">
        <v>701</v>
      </c>
      <c r="E278" s="17" t="s">
        <v>22</v>
      </c>
      <c r="F278" s="17" t="s">
        <v>702</v>
      </c>
      <c r="G278" s="32">
        <v>24551.1</v>
      </c>
      <c r="H278" s="32">
        <f t="shared" si="14"/>
        <v>4419.1979999999994</v>
      </c>
      <c r="I278" s="32">
        <f t="shared" si="9"/>
        <v>28970.297999999999</v>
      </c>
      <c r="J278" s="76" t="s">
        <v>35</v>
      </c>
      <c r="K278" s="19" t="s">
        <v>25</v>
      </c>
      <c r="L278" s="17"/>
      <c r="M278" s="18"/>
      <c r="N278" s="32"/>
      <c r="O278" s="22"/>
      <c r="P278" s="34" t="s">
        <v>36</v>
      </c>
      <c r="Q278" s="25" t="s">
        <v>28</v>
      </c>
      <c r="R278" s="33"/>
    </row>
    <row r="279" spans="1:18">
      <c r="A279" s="17">
        <v>273</v>
      </c>
      <c r="B279" s="78" t="s">
        <v>703</v>
      </c>
      <c r="C279" s="18">
        <v>45741</v>
      </c>
      <c r="D279" s="17" t="s">
        <v>62</v>
      </c>
      <c r="E279" s="17" t="s">
        <v>22</v>
      </c>
      <c r="F279" s="17" t="s">
        <v>568</v>
      </c>
      <c r="G279" s="32">
        <v>14350</v>
      </c>
      <c r="H279" s="32">
        <f t="shared" si="14"/>
        <v>2583</v>
      </c>
      <c r="I279" s="32">
        <f t="shared" si="9"/>
        <v>16933</v>
      </c>
      <c r="J279" s="76" t="s">
        <v>35</v>
      </c>
      <c r="K279" s="19" t="s">
        <v>25</v>
      </c>
      <c r="L279" s="17"/>
      <c r="M279" s="18"/>
      <c r="N279" s="32"/>
      <c r="O279" s="22"/>
      <c r="P279" s="34" t="s">
        <v>51</v>
      </c>
      <c r="Q279" s="25" t="s">
        <v>28</v>
      </c>
      <c r="R279" s="33"/>
    </row>
    <row r="280" spans="1:18">
      <c r="A280" s="17">
        <v>274</v>
      </c>
      <c r="B280" s="78" t="s">
        <v>704</v>
      </c>
      <c r="C280" s="18">
        <v>45741</v>
      </c>
      <c r="D280" s="17" t="s">
        <v>705</v>
      </c>
      <c r="E280" s="17" t="s">
        <v>22</v>
      </c>
      <c r="F280" s="17" t="s">
        <v>568</v>
      </c>
      <c r="G280" s="32">
        <v>3050</v>
      </c>
      <c r="H280" s="32">
        <f t="shared" si="14"/>
        <v>549</v>
      </c>
      <c r="I280" s="32">
        <f t="shared" si="9"/>
        <v>3599</v>
      </c>
      <c r="J280" s="76" t="s">
        <v>35</v>
      </c>
      <c r="K280" s="19" t="s">
        <v>25</v>
      </c>
      <c r="L280" s="17"/>
      <c r="M280" s="18"/>
      <c r="N280" s="32"/>
      <c r="O280" s="22"/>
      <c r="P280" s="34" t="s">
        <v>51</v>
      </c>
      <c r="Q280" s="25" t="s">
        <v>28</v>
      </c>
      <c r="R280" s="33"/>
    </row>
    <row r="281" spans="1:18">
      <c r="A281" s="17">
        <v>275</v>
      </c>
      <c r="B281" s="78" t="s">
        <v>706</v>
      </c>
      <c r="C281" s="18">
        <v>45741</v>
      </c>
      <c r="D281" s="17" t="s">
        <v>580</v>
      </c>
      <c r="E281" s="17" t="s">
        <v>157</v>
      </c>
      <c r="F281" s="17" t="s">
        <v>581</v>
      </c>
      <c r="G281" s="32">
        <v>166750</v>
      </c>
      <c r="H281" s="32">
        <f t="shared" si="14"/>
        <v>30015</v>
      </c>
      <c r="I281" s="32">
        <f t="shared" si="9"/>
        <v>196765</v>
      </c>
      <c r="J281" s="76" t="s">
        <v>35</v>
      </c>
      <c r="K281" s="19" t="s">
        <v>25</v>
      </c>
      <c r="L281" s="17"/>
      <c r="M281" s="18"/>
      <c r="N281" s="32"/>
      <c r="O281" s="22"/>
      <c r="P281" s="34" t="s">
        <v>51</v>
      </c>
      <c r="Q281" s="25" t="s">
        <v>28</v>
      </c>
      <c r="R281" s="33"/>
    </row>
    <row r="282" spans="1:18">
      <c r="A282" s="17">
        <v>276</v>
      </c>
      <c r="B282" s="78" t="s">
        <v>707</v>
      </c>
      <c r="C282" s="18">
        <v>45743</v>
      </c>
      <c r="D282" s="17" t="s">
        <v>708</v>
      </c>
      <c r="E282" s="17" t="s">
        <v>22</v>
      </c>
      <c r="F282" s="17" t="s">
        <v>709</v>
      </c>
      <c r="G282" s="32">
        <v>1998000</v>
      </c>
      <c r="H282" s="32">
        <f>G282*28%</f>
        <v>559440</v>
      </c>
      <c r="I282" s="32">
        <f t="shared" si="9"/>
        <v>2557440</v>
      </c>
      <c r="J282" s="76" t="s">
        <v>35</v>
      </c>
      <c r="K282" s="19" t="s">
        <v>25</v>
      </c>
      <c r="L282" s="17"/>
      <c r="M282" s="18"/>
      <c r="N282" s="32"/>
      <c r="O282" s="65" t="s">
        <v>710</v>
      </c>
      <c r="P282" s="34" t="s">
        <v>27</v>
      </c>
      <c r="Q282" s="24" t="s">
        <v>37</v>
      </c>
      <c r="R282" s="33"/>
    </row>
    <row r="283" spans="1:18">
      <c r="A283" s="17">
        <v>277</v>
      </c>
      <c r="B283" s="78" t="s">
        <v>711</v>
      </c>
      <c r="C283" s="18">
        <v>45744</v>
      </c>
      <c r="D283" s="17" t="s">
        <v>62</v>
      </c>
      <c r="E283" s="17" t="s">
        <v>22</v>
      </c>
      <c r="F283" s="17" t="s">
        <v>568</v>
      </c>
      <c r="G283" s="32">
        <v>18500</v>
      </c>
      <c r="H283" s="32">
        <f>G283*18%</f>
        <v>3330</v>
      </c>
      <c r="I283" s="32">
        <f t="shared" si="9"/>
        <v>21830</v>
      </c>
      <c r="J283" s="76" t="s">
        <v>35</v>
      </c>
      <c r="K283" s="19" t="s">
        <v>25</v>
      </c>
      <c r="L283" s="17"/>
      <c r="M283" s="18"/>
      <c r="N283" s="32"/>
      <c r="O283" s="22"/>
      <c r="P283" s="34" t="s">
        <v>51</v>
      </c>
      <c r="Q283" s="25" t="s">
        <v>28</v>
      </c>
      <c r="R283" s="33"/>
    </row>
    <row r="284" spans="1:18">
      <c r="A284" s="17">
        <v>278</v>
      </c>
      <c r="B284" s="78" t="s">
        <v>712</v>
      </c>
      <c r="C284" s="18">
        <v>45744</v>
      </c>
      <c r="D284" s="17" t="s">
        <v>407</v>
      </c>
      <c r="E284" s="17" t="s">
        <v>22</v>
      </c>
      <c r="F284" s="17" t="s">
        <v>713</v>
      </c>
      <c r="G284" s="32">
        <v>84850</v>
      </c>
      <c r="H284" s="32">
        <f>G284*18%</f>
        <v>15273</v>
      </c>
      <c r="I284" s="32">
        <f t="shared" si="9"/>
        <v>100123</v>
      </c>
      <c r="J284" s="76" t="s">
        <v>92</v>
      </c>
      <c r="K284" s="19" t="s">
        <v>25</v>
      </c>
      <c r="L284" s="17"/>
      <c r="M284" s="18"/>
      <c r="N284" s="32"/>
      <c r="O284" s="22"/>
      <c r="P284" s="34" t="s">
        <v>137</v>
      </c>
      <c r="Q284" s="24" t="s">
        <v>37</v>
      </c>
      <c r="R284" s="33"/>
    </row>
    <row r="285" spans="1:18" ht="14.25">
      <c r="A285" s="17">
        <v>279</v>
      </c>
      <c r="B285" s="85" t="s">
        <v>714</v>
      </c>
      <c r="C285" s="18">
        <v>45745</v>
      </c>
      <c r="D285" s="17" t="s">
        <v>715</v>
      </c>
      <c r="E285" s="17" t="s">
        <v>157</v>
      </c>
      <c r="F285" s="17" t="s">
        <v>716</v>
      </c>
      <c r="G285" s="32">
        <v>181475</v>
      </c>
      <c r="H285" s="32">
        <f>G285*18%</f>
        <v>32665.5</v>
      </c>
      <c r="I285" s="32">
        <f t="shared" si="9"/>
        <v>214140.5</v>
      </c>
      <c r="J285" s="76" t="s">
        <v>35</v>
      </c>
      <c r="K285" s="19" t="s">
        <v>25</v>
      </c>
      <c r="L285" s="17" t="s">
        <v>717</v>
      </c>
      <c r="M285" s="18">
        <v>45846</v>
      </c>
      <c r="N285" s="32">
        <v>217007</v>
      </c>
      <c r="O285" s="65" t="s">
        <v>718</v>
      </c>
      <c r="P285" s="34" t="s">
        <v>719</v>
      </c>
      <c r="Q285" s="24" t="s">
        <v>37</v>
      </c>
      <c r="R285" s="26" t="s">
        <v>720</v>
      </c>
    </row>
    <row r="286" spans="1:18">
      <c r="A286" s="17">
        <v>280</v>
      </c>
      <c r="B286" s="78" t="s">
        <v>721</v>
      </c>
      <c r="C286" s="18">
        <v>45745</v>
      </c>
      <c r="D286" s="17" t="s">
        <v>62</v>
      </c>
      <c r="E286" s="17" t="s">
        <v>22</v>
      </c>
      <c r="F286" s="17" t="s">
        <v>722</v>
      </c>
      <c r="G286" s="32">
        <v>1251.2</v>
      </c>
      <c r="H286" s="32">
        <f>G286*18%</f>
        <v>225.21600000000001</v>
      </c>
      <c r="I286" s="32">
        <f t="shared" si="9"/>
        <v>1476.4160000000002</v>
      </c>
      <c r="J286" s="76" t="s">
        <v>35</v>
      </c>
      <c r="K286" s="19" t="s">
        <v>25</v>
      </c>
      <c r="L286" s="17"/>
      <c r="M286" s="18"/>
      <c r="N286" s="32"/>
      <c r="O286" s="22"/>
      <c r="P286" s="34" t="s">
        <v>693</v>
      </c>
      <c r="Q286" s="25" t="s">
        <v>28</v>
      </c>
      <c r="R286" s="33"/>
    </row>
    <row r="287" spans="1:18">
      <c r="A287" s="17">
        <v>281</v>
      </c>
      <c r="B287" s="78" t="s">
        <v>723</v>
      </c>
      <c r="C287" s="18">
        <v>45747</v>
      </c>
      <c r="D287" s="17" t="s">
        <v>112</v>
      </c>
      <c r="E287" s="17" t="s">
        <v>22</v>
      </c>
      <c r="F287" s="17" t="s">
        <v>288</v>
      </c>
      <c r="G287" s="32">
        <v>18370</v>
      </c>
      <c r="H287" s="32">
        <v>0</v>
      </c>
      <c r="I287" s="32">
        <f t="shared" si="9"/>
        <v>18370</v>
      </c>
      <c r="J287" s="76" t="s">
        <v>35</v>
      </c>
      <c r="K287" s="19" t="s">
        <v>25</v>
      </c>
      <c r="L287" s="17"/>
      <c r="M287" s="18"/>
      <c r="N287" s="32"/>
      <c r="O287" s="22"/>
      <c r="P287" s="34" t="s">
        <v>51</v>
      </c>
      <c r="Q287" s="24" t="s">
        <v>37</v>
      </c>
      <c r="R287" s="33"/>
    </row>
    <row r="288" spans="1:18">
      <c r="A288" s="17">
        <v>282</v>
      </c>
      <c r="B288" s="78" t="s">
        <v>724</v>
      </c>
      <c r="C288" s="18">
        <v>45747</v>
      </c>
      <c r="D288" s="17" t="s">
        <v>725</v>
      </c>
      <c r="E288" s="17" t="s">
        <v>180</v>
      </c>
      <c r="F288" s="17" t="s">
        <v>181</v>
      </c>
      <c r="G288" s="32">
        <v>570000</v>
      </c>
      <c r="H288" s="32">
        <f>G288*18%</f>
        <v>102600</v>
      </c>
      <c r="I288" s="32">
        <f t="shared" si="9"/>
        <v>672600</v>
      </c>
      <c r="J288" s="76" t="s">
        <v>92</v>
      </c>
      <c r="K288" s="19" t="s">
        <v>25</v>
      </c>
      <c r="L288" s="17" t="s">
        <v>726</v>
      </c>
      <c r="M288" s="18">
        <v>45764</v>
      </c>
      <c r="N288" s="32">
        <v>676790</v>
      </c>
      <c r="O288" s="22"/>
      <c r="P288" s="34" t="s">
        <v>51</v>
      </c>
      <c r="Q288" s="25" t="s">
        <v>28</v>
      </c>
      <c r="R288" s="33"/>
    </row>
  </sheetData>
  <autoFilter ref="A6:R288"/>
  <mergeCells count="5">
    <mergeCell ref="A1:P1"/>
    <mergeCell ref="A2:P2"/>
    <mergeCell ref="A3:P3"/>
    <mergeCell ref="A4:P4"/>
    <mergeCell ref="A5:P5"/>
  </mergeCells>
  <hyperlinks>
    <hyperlink ref="B229" r:id="rId1"/>
    <hyperlink ref="B228" r:id="rId2"/>
    <hyperlink ref="B227" r:id="rId3"/>
    <hyperlink ref="B219" r:id="rId4"/>
    <hyperlink ref="B220" r:id="rId5"/>
    <hyperlink ref="B221" r:id="rId6"/>
    <hyperlink ref="B222" r:id="rId7"/>
    <hyperlink ref="B223" r:id="rId8"/>
    <hyperlink ref="B224" r:id="rId9"/>
    <hyperlink ref="B225" r:id="rId10"/>
    <hyperlink ref="B226" r:id="rId11"/>
    <hyperlink ref="B235" r:id="rId12"/>
    <hyperlink ref="B234" r:id="rId13"/>
    <hyperlink ref="B237" r:id="rId14"/>
    <hyperlink ref="B238" r:id="rId15"/>
    <hyperlink ref="B240" r:id="rId16"/>
    <hyperlink ref="B241" r:id="rId17"/>
    <hyperlink ref="B230" r:id="rId18"/>
    <hyperlink ref="B231" r:id="rId19"/>
    <hyperlink ref="B232" r:id="rId20"/>
    <hyperlink ref="B233" r:id="rId21"/>
    <hyperlink ref="B236" r:id="rId22"/>
    <hyperlink ref="B242" r:id="rId23"/>
    <hyperlink ref="B243" r:id="rId24"/>
    <hyperlink ref="B244" r:id="rId25"/>
    <hyperlink ref="B245" r:id="rId26"/>
    <hyperlink ref="B246" r:id="rId27"/>
    <hyperlink ref="B247" r:id="rId28"/>
    <hyperlink ref="B248" r:id="rId29"/>
    <hyperlink ref="B250" r:id="rId30"/>
    <hyperlink ref="B251" r:id="rId31"/>
    <hyperlink ref="B239" r:id="rId32"/>
    <hyperlink ref="B249" r:id="rId33"/>
    <hyperlink ref="B252" r:id="rId34"/>
    <hyperlink ref="B253" r:id="rId35"/>
    <hyperlink ref="B254" r:id="rId36"/>
    <hyperlink ref="B258" r:id="rId37"/>
    <hyperlink ref="B255" r:id="rId38"/>
    <hyperlink ref="B256" r:id="rId39"/>
    <hyperlink ref="B257" r:id="rId40"/>
    <hyperlink ref="B259" r:id="rId41"/>
    <hyperlink ref="B260" r:id="rId42"/>
    <hyperlink ref="B261" r:id="rId43"/>
    <hyperlink ref="B262" r:id="rId44"/>
    <hyperlink ref="B263" r:id="rId45"/>
    <hyperlink ref="B264" r:id="rId46"/>
    <hyperlink ref="B266" r:id="rId47"/>
    <hyperlink ref="B268" r:id="rId48"/>
    <hyperlink ref="B269" r:id="rId49"/>
    <hyperlink ref="B270" r:id="rId50"/>
    <hyperlink ref="B271" r:id="rId51"/>
    <hyperlink ref="B272" r:id="rId52"/>
    <hyperlink ref="B267" r:id="rId53"/>
    <hyperlink ref="B273" r:id="rId54"/>
    <hyperlink ref="B274" r:id="rId55"/>
    <hyperlink ref="B278" r:id="rId56"/>
    <hyperlink ref="B283" r:id="rId57"/>
    <hyperlink ref="B279" r:id="rId58"/>
    <hyperlink ref="B281" r:id="rId59"/>
    <hyperlink ref="B275" r:id="rId60"/>
    <hyperlink ref="B276" r:id="rId61"/>
    <hyperlink ref="B277" r:id="rId62"/>
    <hyperlink ref="B265" r:id="rId63"/>
    <hyperlink ref="B280" r:id="rId64"/>
    <hyperlink ref="B282" r:id="rId65"/>
    <hyperlink ref="B286" r:id="rId66"/>
    <hyperlink ref="B287" r:id="rId67"/>
    <hyperlink ref="B288" r:id="rId68"/>
    <hyperlink ref="B285" r:id="rId69"/>
    <hyperlink ref="B284" r:id="rId70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0" orientation="portrait" r:id="rId71"/>
  <colBreaks count="1" manualBreakCount="1">
    <brk id="7" max="3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POWER PLANT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Mitra</dc:creator>
  <cp:lastModifiedBy>Prabal Mitra</cp:lastModifiedBy>
  <dcterms:created xsi:type="dcterms:W3CDTF">2025-11-25T07:50:03Z</dcterms:created>
  <dcterms:modified xsi:type="dcterms:W3CDTF">2025-11-25T07:50:14Z</dcterms:modified>
</cp:coreProperties>
</file>